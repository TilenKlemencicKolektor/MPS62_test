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andld\Desktop\E30\doc\mcxe31_rm_attachment_alex_v10\"/>
    </mc:Choice>
  </mc:AlternateContent>
  <xr:revisionPtr revIDLastSave="0" documentId="13_ncr:1_{0D221CF9-E449-4EAE-AE7E-B73734B93AB5}" xr6:coauthVersionLast="47" xr6:coauthVersionMax="47" xr10:uidLastSave="{00000000-0000-0000-0000-000000000000}"/>
  <bookViews>
    <workbookView xWindow="-108" yWindow="-108" windowWidth="30936" windowHeight="18696" activeTab="3" xr2:uid="{358871FE-05C6-4CD3-8B73-07A5CAC2F285}"/>
  </bookViews>
  <sheets>
    <sheet name="Rev History" sheetId="215" r:id="rId1"/>
    <sheet name="Title" sheetId="216" r:id="rId2"/>
    <sheet name="MCXE31_Pinout" sheetId="207" r:id="rId3"/>
    <sheet name="MCXE31_IO Signal Table" sheetId="208" r:id="rId4"/>
    <sheet name="MCX315_MCXE316_Input Muxing" sheetId="209" r:id="rId5"/>
    <sheet name="MCX315_MCXE316_Supplies" sheetId="210" r:id="rId6"/>
    <sheet name="MCX315_MCXE316_Misc Pins" sheetId="211" r:id="rId7"/>
    <sheet name="MCX315_MCXE316_48lqfp" sheetId="212" r:id="rId8"/>
    <sheet name="MCX315_MCXE316_100hdqfp" sheetId="213" r:id="rId9"/>
    <sheet name="MCX315_6_PeripheralSummaries" sheetId="214" r:id="rId10"/>
  </sheets>
  <definedNames>
    <definedName name="_xlnm._FilterDatabase" localSheetId="4" hidden="1">'MCX315_MCXE316_Input Muxing'!$A$1:$I$905</definedName>
    <definedName name="_xlnm._FilterDatabase" localSheetId="3" hidden="1">'MCXE31_IO Signal Table'!$A$2:$AD$947</definedName>
    <definedName name="_xlnm._FilterDatabase" localSheetId="2" hidden="1">MCXE31_Pinout!$A$2:$AH$105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07" l="1"/>
  <c r="AF5" i="207"/>
  <c r="AF6" i="207"/>
  <c r="AF7" i="207"/>
  <c r="AF8" i="207"/>
  <c r="AF9" i="207"/>
  <c r="AF10" i="207"/>
  <c r="AH10" i="207" s="1"/>
  <c r="AF11" i="207"/>
  <c r="AH11" i="207" s="1"/>
  <c r="AF12" i="207"/>
  <c r="AF13" i="207"/>
  <c r="AF14" i="207"/>
  <c r="AF15" i="207"/>
  <c r="AF16" i="207"/>
  <c r="AF17" i="207"/>
  <c r="AH17" i="207" s="1"/>
  <c r="AF18" i="207"/>
  <c r="AH18" i="207" s="1"/>
  <c r="AF19" i="207"/>
  <c r="AH19" i="207" s="1"/>
  <c r="AF20" i="207"/>
  <c r="AF21" i="207"/>
  <c r="AF22" i="207"/>
  <c r="AF23" i="207"/>
  <c r="AF24" i="207"/>
  <c r="AF25" i="207"/>
  <c r="AF26" i="207"/>
  <c r="AF27" i="207"/>
  <c r="AF28" i="207"/>
  <c r="AF29" i="207"/>
  <c r="AF30" i="207"/>
  <c r="AF31" i="207"/>
  <c r="AF32" i="207"/>
  <c r="AH32" i="207" s="1"/>
  <c r="AF33" i="207"/>
  <c r="AH33" i="207" s="1"/>
  <c r="AF34" i="207"/>
  <c r="AF35" i="207"/>
  <c r="AF36" i="207"/>
  <c r="AF37" i="207"/>
  <c r="AF38" i="207"/>
  <c r="AF39" i="207"/>
  <c r="AF40" i="207"/>
  <c r="AF41" i="207"/>
  <c r="AH41" i="207" s="1"/>
  <c r="AF42" i="207"/>
  <c r="AF43" i="207"/>
  <c r="AF44" i="207"/>
  <c r="AF45" i="207"/>
  <c r="AH45" i="207" s="1"/>
  <c r="AF46" i="207"/>
  <c r="AF47" i="207"/>
  <c r="AF48" i="207"/>
  <c r="AF49" i="207"/>
  <c r="AF50" i="207"/>
  <c r="AF51" i="207"/>
  <c r="AF52" i="207"/>
  <c r="AF53" i="207"/>
  <c r="AF54" i="207"/>
  <c r="AF55" i="207"/>
  <c r="AF56" i="207"/>
  <c r="AH56" i="207" s="1"/>
  <c r="AF57" i="207"/>
  <c r="AH57" i="207" s="1"/>
  <c r="AF58" i="207"/>
  <c r="AF59" i="207"/>
  <c r="AF60" i="207"/>
  <c r="AF61" i="207"/>
  <c r="AF62" i="207"/>
  <c r="AF63" i="207"/>
  <c r="AF64" i="207"/>
  <c r="AF65" i="207"/>
  <c r="AF66" i="207"/>
  <c r="AF67" i="207"/>
  <c r="AF68" i="207"/>
  <c r="AF69" i="207"/>
  <c r="AF70" i="207"/>
  <c r="AF71" i="207"/>
  <c r="AF72" i="207"/>
  <c r="AF73" i="207"/>
  <c r="AF74" i="207"/>
  <c r="AF75" i="207"/>
  <c r="AF76" i="207"/>
  <c r="AF77" i="207"/>
  <c r="AF78" i="207"/>
  <c r="AF79" i="207"/>
  <c r="AF80" i="207"/>
  <c r="AF81" i="207"/>
  <c r="AH81" i="207" s="1"/>
  <c r="AF82" i="207"/>
  <c r="AF83" i="207"/>
  <c r="AF84" i="207"/>
  <c r="AF85" i="207"/>
  <c r="AH85" i="207" s="1"/>
  <c r="AF86" i="207"/>
  <c r="AF87" i="207"/>
  <c r="AF88" i="207"/>
  <c r="AH88" i="207" s="1"/>
  <c r="AF89" i="207"/>
  <c r="AH89" i="207" s="1"/>
  <c r="AF90" i="207"/>
  <c r="AF91" i="207"/>
  <c r="AF92" i="207"/>
  <c r="AF93" i="207"/>
  <c r="AF94" i="207"/>
  <c r="AF95" i="207"/>
  <c r="AF96" i="207"/>
  <c r="AF97" i="207"/>
  <c r="AF98" i="207"/>
  <c r="AF99" i="207"/>
  <c r="AF100" i="207"/>
  <c r="AF101" i="207"/>
  <c r="AF102" i="207"/>
  <c r="AF103" i="207"/>
  <c r="AF104" i="207"/>
  <c r="AF105" i="207"/>
  <c r="AH105" i="207" s="1"/>
  <c r="AF3" i="207"/>
  <c r="AG105" i="207" a="1"/>
  <c r="AG105" i="207"/>
  <c r="AG104" i="207" a="1"/>
  <c r="AG104" i="207"/>
  <c r="AH104" i="207" s="1"/>
  <c r="AG103" i="207" a="1"/>
  <c r="AG103" i="207" s="1"/>
  <c r="AG102" i="207" a="1"/>
  <c r="AG102" i="207"/>
  <c r="AG101" i="207" a="1"/>
  <c r="AG101" i="207"/>
  <c r="AG100" i="207" a="1"/>
  <c r="AG100" i="207"/>
  <c r="AG99" i="207" a="1"/>
  <c r="AG99" i="207" s="1"/>
  <c r="AG98" i="207" a="1"/>
  <c r="AG98" i="207"/>
  <c r="AG97" i="207" a="1"/>
  <c r="AG97" i="207"/>
  <c r="AG96" i="207" a="1"/>
  <c r="AG96" i="207"/>
  <c r="AG95" i="207" a="1"/>
  <c r="AG95" i="207" s="1"/>
  <c r="AH95" i="207" s="1"/>
  <c r="AG94" i="207" a="1"/>
  <c r="AG94" i="207"/>
  <c r="AG93" i="207" a="1"/>
  <c r="AG93" i="207"/>
  <c r="AG92" i="207" a="1"/>
  <c r="AG92" i="207"/>
  <c r="AG91" i="207" a="1"/>
  <c r="AG91" i="207" s="1"/>
  <c r="AG90" i="207" a="1"/>
  <c r="AG90" i="207"/>
  <c r="AG89" i="207" a="1"/>
  <c r="AG89" i="207"/>
  <c r="AG88" i="207" a="1"/>
  <c r="AG88" i="207"/>
  <c r="AG87" i="207" a="1"/>
  <c r="AG87" i="207" s="1"/>
  <c r="AH87" i="207" s="1"/>
  <c r="AG86" i="207" a="1"/>
  <c r="AG86" i="207"/>
  <c r="AG85" i="207" a="1"/>
  <c r="AG85" i="207"/>
  <c r="AG84" i="207" a="1"/>
  <c r="AG84" i="207"/>
  <c r="AG83" i="207" a="1"/>
  <c r="AG83" i="207" s="1"/>
  <c r="AG82" i="207" a="1"/>
  <c r="AG82" i="207"/>
  <c r="AG81" i="207" a="1"/>
  <c r="AG81" i="207"/>
  <c r="AG80" i="207" a="1"/>
  <c r="AG80" i="207"/>
  <c r="AG79" i="207" a="1"/>
  <c r="AG79" i="207" s="1"/>
  <c r="AH79" i="207" s="1"/>
  <c r="AG78" i="207" a="1"/>
  <c r="AG78" i="207"/>
  <c r="AG77" i="207" a="1"/>
  <c r="AG77" i="207"/>
  <c r="AH77" i="207" s="1"/>
  <c r="AG76" i="207" a="1"/>
  <c r="AG76" i="207"/>
  <c r="AG75" i="207" a="1"/>
  <c r="AG75" i="207" s="1"/>
  <c r="AG74" i="207" a="1"/>
  <c r="AG74" i="207"/>
  <c r="AG73" i="207" a="1"/>
  <c r="AG73" i="207"/>
  <c r="AG72" i="207" a="1"/>
  <c r="AG72" i="207"/>
  <c r="AG71" i="207" a="1"/>
  <c r="AG71" i="207" s="1"/>
  <c r="AG70" i="207" a="1"/>
  <c r="AG70" i="207"/>
  <c r="AH70" i="207" s="1"/>
  <c r="AG69" i="207" a="1"/>
  <c r="AG69" i="207"/>
  <c r="AG68" i="207" a="1"/>
  <c r="AG68" i="207"/>
  <c r="AG67" i="207" a="1"/>
  <c r="AG67" i="207" s="1"/>
  <c r="AG66" i="207" a="1"/>
  <c r="AG66" i="207"/>
  <c r="AG65" i="207" a="1"/>
  <c r="AG65" i="207"/>
  <c r="AG64" i="207" a="1"/>
  <c r="AG64" i="207"/>
  <c r="AG63" i="207" a="1"/>
  <c r="AG63" i="207" s="1"/>
  <c r="AG62" i="207" a="1"/>
  <c r="AG62" i="207"/>
  <c r="AG61" i="207" a="1"/>
  <c r="AG61" i="207"/>
  <c r="AG60" i="207" a="1"/>
  <c r="AG60" i="207"/>
  <c r="AG59" i="207" a="1"/>
  <c r="AG59" i="207" s="1"/>
  <c r="AG58" i="207" a="1"/>
  <c r="AG58" i="207"/>
  <c r="AH58" i="207" s="1"/>
  <c r="AG57" i="207" a="1"/>
  <c r="AG57" i="207"/>
  <c r="AG56" i="207" a="1"/>
  <c r="AG56" i="207"/>
  <c r="AG55" i="207" a="1"/>
  <c r="AG55" i="207" s="1"/>
  <c r="AG54" i="207" a="1"/>
  <c r="AG54" i="207" s="1"/>
  <c r="AH54" i="207" s="1"/>
  <c r="AG53" i="207" a="1"/>
  <c r="AG53" i="207"/>
  <c r="AG52" i="207" a="1"/>
  <c r="AG52" i="207"/>
  <c r="AG51" i="207" a="1"/>
  <c r="AG51" i="207" s="1"/>
  <c r="AG50" i="207" a="1"/>
  <c r="AG50" i="207"/>
  <c r="AG49" i="207" a="1"/>
  <c r="AG49" i="207"/>
  <c r="AH49" i="207" s="1"/>
  <c r="AG48" i="207" a="1"/>
  <c r="AG48" i="207"/>
  <c r="AG47" i="207" a="1"/>
  <c r="AG47" i="207" s="1"/>
  <c r="AG46" i="207" a="1"/>
  <c r="AG46" i="207"/>
  <c r="AH46" i="207" s="1"/>
  <c r="AG45" i="207" a="1"/>
  <c r="AG45" i="207"/>
  <c r="AG44" i="207" a="1"/>
  <c r="AG44" i="207"/>
  <c r="AG43" i="207" a="1"/>
  <c r="AG43" i="207" s="1"/>
  <c r="AG42" i="207" a="1"/>
  <c r="AG42" i="207"/>
  <c r="AG41" i="207" a="1"/>
  <c r="AG41" i="207"/>
  <c r="AG40" i="207" a="1"/>
  <c r="AG40" i="207"/>
  <c r="AG39" i="207" a="1"/>
  <c r="AG39" i="207" s="1"/>
  <c r="AG38" i="207" a="1"/>
  <c r="AG38" i="207"/>
  <c r="AH38" i="207" s="1"/>
  <c r="AG37" i="207" a="1"/>
  <c r="AG37" i="207"/>
  <c r="AG36" i="207" a="1"/>
  <c r="AG36" i="207"/>
  <c r="AH36" i="207" s="1"/>
  <c r="AG35" i="207" a="1"/>
  <c r="AG35" i="207" s="1"/>
  <c r="AG34" i="207" a="1"/>
  <c r="AG34" i="207"/>
  <c r="AH34" i="207" s="1"/>
  <c r="AG33" i="207" a="1"/>
  <c r="AG33" i="207"/>
  <c r="AG32" i="207" a="1"/>
  <c r="AG32" i="207"/>
  <c r="AG31" i="207" a="1"/>
  <c r="AG31" i="207" s="1"/>
  <c r="AG30" i="207" a="1"/>
  <c r="AG30" i="207"/>
  <c r="AH30" i="207" s="1"/>
  <c r="AG29" i="207" a="1"/>
  <c r="AG29" i="207" s="1"/>
  <c r="AH29" i="207" s="1"/>
  <c r="AG28" i="207" a="1"/>
  <c r="AG28" i="207"/>
  <c r="AG27" i="207" a="1"/>
  <c r="AG27" i="207" s="1"/>
  <c r="AG26" i="207" a="1"/>
  <c r="AG26" i="207"/>
  <c r="AG25" i="207" a="1"/>
  <c r="AG25" i="207" s="1"/>
  <c r="AH25" i="207" s="1"/>
  <c r="AG24" i="207" a="1"/>
  <c r="AG24" i="207" s="1"/>
  <c r="AH24" i="207" s="1"/>
  <c r="AG23" i="207" a="1"/>
  <c r="AG23" i="207" s="1"/>
  <c r="AG22" i="207" a="1"/>
  <c r="AG22" i="207"/>
  <c r="AH22" i="207" s="1"/>
  <c r="AG21" i="207" a="1"/>
  <c r="AG21" i="207" s="1"/>
  <c r="AH21" i="207" s="1"/>
  <c r="AG20" i="207" a="1"/>
  <c r="AG20" i="207" s="1"/>
  <c r="AG19" i="207" a="1"/>
  <c r="AG19" i="207" s="1"/>
  <c r="AG18" i="207" a="1"/>
  <c r="AG18" i="207"/>
  <c r="AG17" i="207" a="1"/>
  <c r="AG17" i="207" s="1"/>
  <c r="AG16" i="207" a="1"/>
  <c r="AG16" i="207" s="1"/>
  <c r="AG15" i="207" a="1"/>
  <c r="AG15" i="207" s="1"/>
  <c r="AG14" i="207" a="1"/>
  <c r="AG14" i="207"/>
  <c r="AG13" i="207" a="1"/>
  <c r="AG13" i="207" s="1"/>
  <c r="AG12" i="207" a="1"/>
  <c r="AG12" i="207" s="1"/>
  <c r="AG11" i="207" a="1"/>
  <c r="AG11" i="207" s="1"/>
  <c r="AG10" i="207" a="1"/>
  <c r="AG10" i="207"/>
  <c r="AG9" i="207" a="1"/>
  <c r="AG9" i="207" s="1"/>
  <c r="AG8" i="207" a="1"/>
  <c r="AG8" i="207" s="1"/>
  <c r="AH8" i="207" s="1"/>
  <c r="AG7" i="207" a="1"/>
  <c r="AG7" i="207" s="1"/>
  <c r="AH7" i="207" s="1"/>
  <c r="AG6" i="207" a="1"/>
  <c r="AG6" i="207"/>
  <c r="AH6" i="207" s="1"/>
  <c r="AG5" i="207" a="1"/>
  <c r="AG5" i="207" s="1"/>
  <c r="AH5" i="207" s="1"/>
  <c r="AG4" i="207" a="1"/>
  <c r="AG4" i="207" s="1"/>
  <c r="AH61" i="207"/>
  <c r="AH65" i="207"/>
  <c r="AH69" i="207"/>
  <c r="AH73" i="207"/>
  <c r="AH76" i="207"/>
  <c r="AH80" i="207"/>
  <c r="AH93" i="207"/>
  <c r="AH97" i="207"/>
  <c r="AH101" i="207"/>
  <c r="AH37" i="207"/>
  <c r="AH53" i="207"/>
  <c r="AG3" i="207" a="1"/>
  <c r="AG3" i="207" s="1"/>
  <c r="AH12" i="207"/>
  <c r="AH64" i="207"/>
  <c r="AH103" i="207"/>
  <c r="AH13" i="207"/>
  <c r="AH14" i="207"/>
  <c r="AH15" i="207"/>
  <c r="AH16" i="207"/>
  <c r="AH39" i="207"/>
  <c r="AH40" i="207"/>
  <c r="AH62" i="207"/>
  <c r="AH63" i="207"/>
  <c r="AH26" i="207" l="1"/>
  <c r="AH50" i="207"/>
  <c r="AH42" i="207"/>
  <c r="AH66" i="207"/>
  <c r="AH48" i="207"/>
  <c r="AH96" i="207"/>
  <c r="AH92" i="207"/>
  <c r="AH52" i="207"/>
  <c r="AH44" i="207"/>
  <c r="AH28" i="207"/>
  <c r="AH20" i="207"/>
  <c r="AH4" i="207"/>
  <c r="AH99" i="207"/>
  <c r="AH91" i="207"/>
  <c r="AH83" i="207"/>
  <c r="AH75" i="207"/>
  <c r="AH68" i="207"/>
  <c r="AH60" i="207"/>
  <c r="AH72" i="207"/>
  <c r="AH78" i="207"/>
  <c r="AH100" i="207"/>
  <c r="AH84" i="207"/>
  <c r="AH51" i="207"/>
  <c r="AH35" i="207"/>
  <c r="AH31" i="207"/>
  <c r="AH27" i="207"/>
  <c r="AH23" i="207"/>
  <c r="AH71" i="207"/>
  <c r="AH67" i="207"/>
  <c r="AH59" i="207"/>
  <c r="AH55" i="207"/>
  <c r="AH47" i="207"/>
  <c r="AH43" i="207"/>
  <c r="AH90" i="207"/>
  <c r="AH74" i="207"/>
  <c r="AH94" i="207"/>
  <c r="AH102" i="207"/>
  <c r="AH86" i="207"/>
  <c r="AH9" i="207"/>
  <c r="AH98" i="207"/>
  <c r="AH82" i="207"/>
  <c r="AH3" i="20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<sst xmlns="http://schemas.openxmlformats.org/spreadsheetml/2006/main" count="13631" uniqueCount="1302">
  <si>
    <t>Revision History</t>
  </si>
  <si>
    <t>Date</t>
  </si>
  <si>
    <t>Device</t>
  </si>
  <si>
    <t>Description</t>
  </si>
  <si>
    <t>MSCR</t>
  </si>
  <si>
    <t>IMCR</t>
  </si>
  <si>
    <t>Pin Name</t>
  </si>
  <si>
    <t>DEFAULT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</si>
  <si>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</si>
  <si>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</si>
  <si>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</si>
  <si>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</si>
  <si>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</si>
  <si>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</si>
  <si>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</si>
  <si>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</si>
  <si>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</si>
  <si>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Direct Signals</t>
  </si>
  <si>
    <t>Composite Pin Name</t>
  </si>
  <si>
    <t>TSPC</t>
  </si>
  <si>
    <t>ILKG prefix</t>
  </si>
  <si>
    <t>ILKG cat</t>
  </si>
  <si>
    <t>ILKG Parameter</t>
  </si>
  <si>
    <t>PTE16</t>
  </si>
  <si>
    <t>GPIO[144]</t>
  </si>
  <si>
    <t>FCCU_ERR1</t>
  </si>
  <si>
    <t>LPUART3_TX</t>
  </si>
  <si>
    <t>LPSPI2_SIN</t>
  </si>
  <si>
    <t>eMIOS_0_CH[23]_X</t>
  </si>
  <si>
    <t>LPUART1_RTS</t>
  </si>
  <si>
    <t>FXIO_D3</t>
  </si>
  <si>
    <t>TRGMUX_OUT7</t>
  </si>
  <si>
    <t>ADC0_P4/WKPU[19]</t>
  </si>
  <si>
    <t>EIRQ[15]</t>
  </si>
  <si>
    <t>FCCU_ERR_IN1</t>
  </si>
  <si>
    <t>GPIO[144]/FCCU_ERR1/LPUART3_TX/LPSPI2_SIN/eMIOS_0_CH[23]_X/LPUART1_RTS/FXIO_D3/TRGMUX_OUT7/FCCU_ERR_IN1/EIRQ[15]/ADC0_P4/WKPU[19]</t>
  </si>
  <si>
    <t>c40esf3_p_io_standard_mv</t>
  </si>
  <si>
    <t>TSPC_ADC0/TSPC_GPIO0</t>
  </si>
  <si>
    <t>PTE15</t>
  </si>
  <si>
    <t>GPIO[143]</t>
  </si>
  <si>
    <t>FCCU_ERR0</t>
  </si>
  <si>
    <t>LPSPI2_SCK</t>
  </si>
  <si>
    <t>eMIOS_0_CH[22]_X</t>
  </si>
  <si>
    <t>FXIO_D2</t>
  </si>
  <si>
    <t>TRGMUX_OUT6</t>
  </si>
  <si>
    <t>ADC0_P3</t>
  </si>
  <si>
    <t>EIRQ[14]</t>
  </si>
  <si>
    <t>FCCU_ERR_IN0</t>
  </si>
  <si>
    <t>LPUART1_CTS</t>
  </si>
  <si>
    <t>LPUART3_RX</t>
  </si>
  <si>
    <t>GPIO[143]/FCCU_ERR0/LPSPI2_SCK/eMIOS_0_CH[22]_X/FXIO_D2/TRGMUX_OUT6/FCCU_ERR_IN0/LPUART1_CTS/LPUART3_RX/EIRQ[14]/ADC0_P3</t>
  </si>
  <si>
    <t>PTD1</t>
  </si>
  <si>
    <t>GPIO[97]</t>
  </si>
  <si>
    <t>eMIOS_0_CH[3]_G</t>
  </si>
  <si>
    <t>LPSPI3_SCK</t>
  </si>
  <si>
    <t>eMIOS_0_CH[17]_Y</t>
  </si>
  <si>
    <t>FXIO_D1</t>
  </si>
  <si>
    <t>TRGMUX_OUT2</t>
  </si>
  <si>
    <t>ADC0_P0</t>
  </si>
  <si>
    <t>EIRQ[9]</t>
  </si>
  <si>
    <t>TRGMUX_IN6</t>
  </si>
  <si>
    <t>GPIO[97]/eMIOS_0_CH[3]_G/LPSPI3_SCK/eMIOS_0_CH[17]_Y/FXIO_D1/TRGMUX_OUT2/EIRQ[9]/TRGMUX_IN6/ADC0_P0</t>
  </si>
  <si>
    <t>PTD0</t>
  </si>
  <si>
    <t>GPIO[96]</t>
  </si>
  <si>
    <t>eMIOS_0_CH[2]_G</t>
  </si>
  <si>
    <t>LPSPI3_SOUT</t>
  </si>
  <si>
    <t>eMIOS_0_CH[16]_X</t>
  </si>
  <si>
    <t>FXIO_D0</t>
  </si>
  <si>
    <t>TRGMUX_OUT1</t>
  </si>
  <si>
    <t>WKPU[6]/ADC0_P1</t>
  </si>
  <si>
    <t>EIRQ[8]</t>
  </si>
  <si>
    <t>TRGMUX_IN7</t>
  </si>
  <si>
    <t>GPIO[96]/eMIOS_0_CH[2]_G/LPSPI3_SOUT/eMIOS_0_CH[16]_X/FXIO_D0/TRGMUX_OUT1/EIRQ[8]/TRGMUX_IN7/WKPU[6]/ADC0_P1</t>
  </si>
  <si>
    <t>TSPC_ADC0</t>
  </si>
  <si>
    <t>PTE11</t>
  </si>
  <si>
    <t>GPIO[139]</t>
  </si>
  <si>
    <t>LPSPI2_PCS0</t>
  </si>
  <si>
    <t>eMIOS_0_CH[1]_G</t>
  </si>
  <si>
    <t>eMIOS_0_CH[21]_Y</t>
  </si>
  <si>
    <t>FXIO_D5</t>
  </si>
  <si>
    <t>TRGMUX_OUT5</t>
  </si>
  <si>
    <t>WKPU[28]/ADC0_P6</t>
  </si>
  <si>
    <t>EIRQ[10]</t>
  </si>
  <si>
    <t>TRGMUX_IN8</t>
  </si>
  <si>
    <t>GPIO[139]/LPSPI2_PCS0/eMIOS_0_CH[1]_G/eMIOS_0_CH[21]_Y/FXIO_D5/TRGMUX_OUT5/EIRQ[10]/TRGMUX_IN8/WKPU[28]/ADC0_P6</t>
  </si>
  <si>
    <t>PTE10</t>
  </si>
  <si>
    <t>GPIO[138]</t>
  </si>
  <si>
    <t>LPSPI3_SIN</t>
  </si>
  <si>
    <t>LPSPI2_PCS1</t>
  </si>
  <si>
    <t>eMIOS_0_CH[20]_Y</t>
  </si>
  <si>
    <t>CLKOUT_STANDBY</t>
  </si>
  <si>
    <t>FXIO_D4</t>
  </si>
  <si>
    <t>TRGMUX_OUT4</t>
  </si>
  <si>
    <t>ADC0_P5</t>
  </si>
  <si>
    <t>GPIO[138]/LPSPI3_SIN/LPSPI2_PCS1/eMIOS_0_CH[20]_Y/CLKOUT_STANDBY/FXIO_D4/TRGMUX_OUT4/EIRQ[9]/ADC0_P5</t>
  </si>
  <si>
    <t>PTE13</t>
  </si>
  <si>
    <t>GPIO[141]</t>
  </si>
  <si>
    <t>eMIOS_1_CH[5]_H</t>
  </si>
  <si>
    <t>LPSPI2_PCS2</t>
  </si>
  <si>
    <t>VRC_CTRL/ADC1_S19</t>
  </si>
  <si>
    <t>EIRQ[12]</t>
  </si>
  <si>
    <t>GPIO[141]/eMIOS_1_CH[5]_H/LPSPI2_PCS2/LPSPI2_PCS0/FXIO_D5/EIRQ[12]/VRC_CTRL/ADC1_S19</t>
  </si>
  <si>
    <t>VREFH</t>
  </si>
  <si>
    <t>c40esf3_p_io_ae_adc_mv</t>
  </si>
  <si>
    <t>VREFL</t>
  </si>
  <si>
    <t>VDD_HV_A</t>
  </si>
  <si>
    <t>c40esf3_p_pwr_short_mv</t>
  </si>
  <si>
    <t>V25</t>
  </si>
  <si>
    <t>c40esf3_p_pwr_2p5_short_mv</t>
  </si>
  <si>
    <t>VSS</t>
  </si>
  <si>
    <t>c40esf3_p_gnd_short_mv</t>
  </si>
  <si>
    <t>V11</t>
  </si>
  <si>
    <t>EXTAL</t>
  </si>
  <si>
    <t>c40esf3_p_io_ae_osc_short_mv</t>
  </si>
  <si>
    <t>XTAL</t>
  </si>
  <si>
    <t>PTE3</t>
  </si>
  <si>
    <t>GPIO[131]</t>
  </si>
  <si>
    <t>eMIOS_0_CH[19]_Y</t>
  </si>
  <si>
    <t>FXIO_D6</t>
  </si>
  <si>
    <t>LPUART2_RTS</t>
  </si>
  <si>
    <t>CMP0_OUT</t>
  </si>
  <si>
    <t>EIRQ[3]</t>
  </si>
  <si>
    <t>GPIO[131]/eMIOS_0_CH[19]_Y/FXIO_D6/LPUART2_RTS/CMP0_OUT/EIRQ[3]/TRGMUX_IN6</t>
  </si>
  <si>
    <t>PTE12</t>
  </si>
  <si>
    <t>GPIO[140]</t>
  </si>
  <si>
    <t>CMP0_RRT</t>
  </si>
  <si>
    <t>LPUART2_TX</t>
  </si>
  <si>
    <t>FXIO_D8</t>
  </si>
  <si>
    <t>FXIO_D7</t>
  </si>
  <si>
    <t>EIRQ[11]</t>
  </si>
  <si>
    <t>GPIO[140]/CMP0_RRT/LPUART2_TX/eMIOS_1_CH[5]_H/FXIO_D8/FXIO_D7/EIRQ[11]</t>
  </si>
  <si>
    <t>PTD17</t>
  </si>
  <si>
    <t>GPIO[113]</t>
  </si>
  <si>
    <t>eMIOS_0_CH[18]_Y</t>
  </si>
  <si>
    <t>LPSPI3_PCS0</t>
  </si>
  <si>
    <t>FXIO_D9</t>
  </si>
  <si>
    <t>EIRQ[24]</t>
  </si>
  <si>
    <t>LPUART2_RX</t>
  </si>
  <si>
    <t>GPIO[113]/eMIOS_0_CH[18]_Y/LPSPI3_PCS0/FXIO_D9/LPUART2_RX/EIRQ[24]</t>
  </si>
  <si>
    <t>PTD16</t>
  </si>
  <si>
    <t>GPIO[112]</t>
  </si>
  <si>
    <t>LPSPI0_SIN</t>
  </si>
  <si>
    <t>eMIOS_1_CH[15]_H</t>
  </si>
  <si>
    <t>CMP0_IN5</t>
  </si>
  <si>
    <t>GPIO[112]/eMIOS_0_CH[1]_G/LPSPI0_SIN/eMIOS_1_CH[15]_H/LPUART2_RTS/CMP0_IN5</t>
  </si>
  <si>
    <t>PTD15</t>
  </si>
  <si>
    <t>GPIO[111]</t>
  </si>
  <si>
    <t>eMIOS_0_CH[0]_X</t>
  </si>
  <si>
    <t>eMIOS_1_CH[14]_H</t>
  </si>
  <si>
    <t>LPSPI0_SCK</t>
  </si>
  <si>
    <t>FXIO_D10</t>
  </si>
  <si>
    <t>CMP0_IN1</t>
  </si>
  <si>
    <t>EIRQ[31]</t>
  </si>
  <si>
    <t>LPUART2_CTS</t>
  </si>
  <si>
    <t>GPIO[111]/FXIO_D6/eMIOS_0_CH[0]_X/eMIOS_1_CH[14]_H/LPSPI0_SCK/FXIO_D10/LPUART2_CTS/EIRQ[31]/CMP0_IN1</t>
  </si>
  <si>
    <t>c40esf3_p_io_medium_mv</t>
  </si>
  <si>
    <t>PTE9</t>
  </si>
  <si>
    <t>GPIO[137]</t>
  </si>
  <si>
    <t>eMIOS_0_CH[7]_G</t>
  </si>
  <si>
    <t>eMIOS_1_CH[13]_H</t>
  </si>
  <si>
    <t>FXIO_D11</t>
  </si>
  <si>
    <t>CMP0_IN0</t>
  </si>
  <si>
    <t>GPIO[137]/eMIOS_0_CH[7]_G/eMIOS_1_CH[13]_H/FXIO_D11/LPUART2_CTS/EIRQ[8]/CMP0_IN0</t>
  </si>
  <si>
    <t>PTD14</t>
  </si>
  <si>
    <t>GPIO[110]</t>
  </si>
  <si>
    <t>LPUART1_TX</t>
  </si>
  <si>
    <t>LPI2C0_SCL</t>
  </si>
  <si>
    <t>CLKOUT_RUN</t>
  </si>
  <si>
    <t>EIRQ[30]</t>
  </si>
  <si>
    <t>GPIO[110]/eMIOS_0_CH[21]_Y/LPUART1_TX/LPI2C0_SCL/CMP0_RRT/CLKOUT_RUN/EIRQ[30]</t>
  </si>
  <si>
    <t>c40esf3_p_io_standard_plus_mv</t>
  </si>
  <si>
    <t>PTD13</t>
  </si>
  <si>
    <t>GPIO[109]</t>
  </si>
  <si>
    <t>LPI2C0_SDA</t>
  </si>
  <si>
    <t>WKPU[24]</t>
  </si>
  <si>
    <t>EIRQ[29]</t>
  </si>
  <si>
    <t>LPUART1_RX</t>
  </si>
  <si>
    <t>GPIO[109]/eMIOS_0_CH[20]_Y/FXIO_D7/LPI2C0_SDA/LPUART1_RX/EIRQ[29]/WKPU[24]</t>
  </si>
  <si>
    <t>PTE8</t>
  </si>
  <si>
    <t>GPIO[136]</t>
  </si>
  <si>
    <t>LPSPI3_PCS1</t>
  </si>
  <si>
    <t>eMIOS_0_CH[6]_G</t>
  </si>
  <si>
    <t>FXIO_D12</t>
  </si>
  <si>
    <t>CMP0_IN3</t>
  </si>
  <si>
    <t>EIRQ[7]</t>
  </si>
  <si>
    <t>GPIO[136]/LPSPI3_PCS1/eMIOS_0_CH[6]_G/FXIO_D12/FXIO_D8/EIRQ[7]/CMP0_IN3</t>
  </si>
  <si>
    <t>PTB5</t>
  </si>
  <si>
    <t>GPIO[37]</t>
  </si>
  <si>
    <t>eMIOS_0_CH[5]_G</t>
  </si>
  <si>
    <t>LPSPI0_PCS1</t>
  </si>
  <si>
    <t>LPSPI0_PCS0</t>
  </si>
  <si>
    <t>eMIOS_1_CH[11]_H</t>
  </si>
  <si>
    <t>EIRQ[13]</t>
  </si>
  <si>
    <t>TRGMUX_IN0</t>
  </si>
  <si>
    <t>GPIO[37]/eMIOS_0_CH[5]_G/LPSPI0_PCS1/LPSPI0_PCS0/CLKOUT_RUN/eMIOS_1_CH[11]_H/EIRQ[13]/TRGMUX_IN0</t>
  </si>
  <si>
    <t>PTB4</t>
  </si>
  <si>
    <t>GPIO[36]</t>
  </si>
  <si>
    <t>eMIOS_0_CH[4]_G</t>
  </si>
  <si>
    <t>LPSPI0_SOUT</t>
  </si>
  <si>
    <t>eMIOS_1_CH[10]_H</t>
  </si>
  <si>
    <t>TRGMUX_IN1</t>
  </si>
  <si>
    <t>GPIO[36]/eMIOS_0_CH[4]_G/LPSPI0_SOUT/eMIOS_1_CH[10]_H/CLKOUT_STANDBY/EIRQ[12]/TRGMUX_IN1</t>
  </si>
  <si>
    <t>PTC3</t>
  </si>
  <si>
    <t>GPIO[67]</t>
  </si>
  <si>
    <t>CAN0_TX</t>
  </si>
  <si>
    <t>LPUART0_TX</t>
  </si>
  <si>
    <t>CAN1_TX</t>
  </si>
  <si>
    <t>CMP0_IN4</t>
  </si>
  <si>
    <t>GPIO[67]/eMIOS_0_CH[3]_G/CAN0_TX/LPUART0_TX/CAN1_TX/EIRQ[3]/CMP0_IN4</t>
  </si>
  <si>
    <t>PTC2</t>
  </si>
  <si>
    <t>GPIO[66]</t>
  </si>
  <si>
    <t>LPSPI3_PCS2</t>
  </si>
  <si>
    <t>LPSPI0_PCS2</t>
  </si>
  <si>
    <t>CMP0_IN2</t>
  </si>
  <si>
    <t>CAN0_RX</t>
  </si>
  <si>
    <t>CAN1_RX</t>
  </si>
  <si>
    <t>EIRQ[2]</t>
  </si>
  <si>
    <t>LPUART0_RX</t>
  </si>
  <si>
    <t>GPIO[66]/eMIOS_0_CH[2]_G/LPSPI3_PCS2/LPSPI0_PCS2/CAN0_RX/CAN1_RX/LPUART0_RX/EIRQ[2]/CMP0_IN2</t>
  </si>
  <si>
    <t>PTD7</t>
  </si>
  <si>
    <t>GPIO[103]</t>
  </si>
  <si>
    <t>LPSPI3_PCS3</t>
  </si>
  <si>
    <t>LPSPI0_PCS3</t>
  </si>
  <si>
    <t>CMP0_IN6</t>
  </si>
  <si>
    <t>GPIO[103]/LPUART2_TX/LPSPI3_PCS3/LPSPI0_PCS3/EIRQ[15]/CMP0_IN6</t>
  </si>
  <si>
    <t>PTD6</t>
  </si>
  <si>
    <t>GPIO[102]</t>
  </si>
  <si>
    <t>eMIOS_1_CH[12]_H</t>
  </si>
  <si>
    <t>FXIO_D13</t>
  </si>
  <si>
    <t>CMP0_IN7</t>
  </si>
  <si>
    <t>GPIO[102]/FXIO_D3/eMIOS_1_CH[12]_H/FXIO_D13/LPSPI0_PCS0/LPUART2_RX/EIRQ[14]/CMP0_IN7</t>
  </si>
  <si>
    <t>PTD5</t>
  </si>
  <si>
    <t>GPIO[101]</t>
  </si>
  <si>
    <t>FXIO_D15</t>
  </si>
  <si>
    <t>GPIO[101]/eMIOS_0_CH[19]_Y/eMIOS_0_CH[2]_G/FXIO_D15/LPSPI0_PCS1/EIRQ[13]/TRGMUX_IN7</t>
  </si>
  <si>
    <t>PTD12</t>
  </si>
  <si>
    <t>GPIO[108]</t>
  </si>
  <si>
    <t>EIRQ[28]</t>
  </si>
  <si>
    <t>LPI2C1_HREQ</t>
  </si>
  <si>
    <t>GPIO[108]/eMIOS_0_CH[18]_Y/LPUART2_RTS/LPSPI0_SOUT/LPI2C1_HREQ/EIRQ[28]</t>
  </si>
  <si>
    <t>PTD11</t>
  </si>
  <si>
    <t>GPIO[107]</t>
  </si>
  <si>
    <t>EIRQ[27]</t>
  </si>
  <si>
    <t>GPIO[107]/eMIOS_0_CH[17]_Y/LPSPI0_SCK/LPUART2_CTS/EIRQ[27]</t>
  </si>
  <si>
    <t>PTD10</t>
  </si>
  <si>
    <t>GPIO[106]</t>
  </si>
  <si>
    <t>EIRQ[26]</t>
  </si>
  <si>
    <t>GPIO[106]/eMIOS_0_CH[16]_X/eMIOS_1_CH[10]_H/LPSPI0_SIN/CLKOUT_RUN/EIRQ[26]</t>
  </si>
  <si>
    <t>PTC1</t>
  </si>
  <si>
    <t>GPIO[65]</t>
  </si>
  <si>
    <t>eMIOS_0_CH[15]_H</t>
  </si>
  <si>
    <t>EIRQ[1]</t>
  </si>
  <si>
    <t>GPIO[65]/eMIOS_0_CH[1]_G/FXIO_D5/eMIOS_0_CH[15]_H/EIRQ[1]</t>
  </si>
  <si>
    <t>PTC0</t>
  </si>
  <si>
    <t>GPIO[64]</t>
  </si>
  <si>
    <t>eMIOS_0_CH[14]_H</t>
  </si>
  <si>
    <t>EIRQ[0]</t>
  </si>
  <si>
    <t>GPIO[64]/eMIOS_0_CH[0]_X/eMIOS_0_CH[14]_H/EIRQ[0]</t>
  </si>
  <si>
    <t>PTD9</t>
  </si>
  <si>
    <t>GPIO[105]</t>
  </si>
  <si>
    <t>LPI2C1_SCL</t>
  </si>
  <si>
    <t>eMIOS_0_CH[13]_H</t>
  </si>
  <si>
    <t>EIRQ[25]</t>
  </si>
  <si>
    <t>GPIO[105]/LPI2C1_SCL/FXIO_D0/eMIOS_0_CH[13]_H/FXIO_D10/EIRQ[25]</t>
  </si>
  <si>
    <t>PTD8</t>
  </si>
  <si>
    <t>GPIO[104]</t>
  </si>
  <si>
    <t>LPI2C1_SDA</t>
  </si>
  <si>
    <t>eMIOS_0_CH[12]_H</t>
  </si>
  <si>
    <t>GPIO[104]/LPSPI3_SOUT/LPI2C1_SDA/FXIO_D1/eMIOS_0_CH[12]_H/FXIO_D11/EIRQ[24]</t>
  </si>
  <si>
    <t>PTC17</t>
  </si>
  <si>
    <t>GPIO[81]</t>
  </si>
  <si>
    <t>CAN2_TX</t>
  </si>
  <si>
    <t>LPI2C1_SCLS</t>
  </si>
  <si>
    <t>FXIO_D14</t>
  </si>
  <si>
    <t>GPIO[81]/LPSPI3_SCK/CAN2_TX/LPI2C1_SCLS/FXIO_D14/FXIO_D2</t>
  </si>
  <si>
    <t>PTC16</t>
  </si>
  <si>
    <t>GPIO[80]</t>
  </si>
  <si>
    <t>eMIOS_1_CH[9]_H</t>
  </si>
  <si>
    <t>LPI2C1_SDAS</t>
  </si>
  <si>
    <t>ADC0_S14</t>
  </si>
  <si>
    <t>CAN2_RX</t>
  </si>
  <si>
    <t>GPIO[80]/LPSPI3_SIN/eMIOS_1_CH[9]_H/LPI2C1_SDAS/FXIO_D15/LPI2C1_SDA/CAN2_RX/LPUART2_RX/ADC0_S14</t>
  </si>
  <si>
    <t>PTC15</t>
  </si>
  <si>
    <t>GPIO[79]</t>
  </si>
  <si>
    <t>eMIOS_0_CH[11]_H</t>
  </si>
  <si>
    <t>ADC0_MA[2]</t>
  </si>
  <si>
    <t>LCU1_OUT0</t>
  </si>
  <si>
    <t>ADC0_S13</t>
  </si>
  <si>
    <t>EIRQ[23]</t>
  </si>
  <si>
    <t>GPIO[79]/CAN2_TX/eMIOS_0_CH[11]_H/LPSPI2_SCK/ADC0_MA[2]/LPUART2_TX/LCU1_OUT0/LPI2C1_SCL/EIRQ[23]/TRGMUX_IN8/ADC0_S13</t>
  </si>
  <si>
    <t>PTC14</t>
  </si>
  <si>
    <t>GPIO[78]</t>
  </si>
  <si>
    <t>eMIOS_0_CH[10]_H</t>
  </si>
  <si>
    <t>ADC0_MA[1]</t>
  </si>
  <si>
    <t>eMIOS_1_CH[4]_H</t>
  </si>
  <si>
    <t>LCU1_OUT1</t>
  </si>
  <si>
    <t>ADC0_S12</t>
  </si>
  <si>
    <t>EIRQ[22]</t>
  </si>
  <si>
    <t>TRGMUX_IN9</t>
  </si>
  <si>
    <t>GPIO[78]/eMIOS_0_CH[10]_H/LPSPI2_PCS0/ADC0_MA[1]/eMIOS_1_CH[4]_H/LCU1_OUT1/CAN2_RX/EIRQ[22]/TRGMUX_IN9/ADC0_S12</t>
  </si>
  <si>
    <t>PTB3</t>
  </si>
  <si>
    <t>GPIO[35]</t>
  </si>
  <si>
    <t>eMIOS_0_CH[9]_H</t>
  </si>
  <si>
    <t>LPSPI2_SOUT</t>
  </si>
  <si>
    <t>ADC0_MA[0]</t>
  </si>
  <si>
    <t>LCU1_OUT2</t>
  </si>
  <si>
    <t>TRGMUX_IN2</t>
  </si>
  <si>
    <t>GPIO[35]/eMIOS_0_CH[9]_H/LPSPI2_SOUT/ADC0_MA[0]/LCU1_OUT2/EIRQ[11]/TRGMUX_IN2</t>
  </si>
  <si>
    <t>TSPC_GPIO0</t>
  </si>
  <si>
    <t>PTB2</t>
  </si>
  <si>
    <t>GPIO[34]</t>
  </si>
  <si>
    <t>ADC1_MA[0]</t>
  </si>
  <si>
    <t>eMIOS_0_CH[8]_X</t>
  </si>
  <si>
    <t>LCU1_OUT3</t>
  </si>
  <si>
    <t>WKPU[8]</t>
  </si>
  <si>
    <t>TRGMUX_IN3</t>
  </si>
  <si>
    <t>GPIO[34]/ADC1_MA[0]/eMIOS_0_CH[8]_X/LPSPI2_SIN/LCU1_OUT3/EIRQ[10]/TRGMUX_IN3/WKPU[8]</t>
  </si>
  <si>
    <t>PTC13</t>
  </si>
  <si>
    <t>GPIO[77]</t>
  </si>
  <si>
    <t>eMIOS_1_CH[3]_H</t>
  </si>
  <si>
    <t>ADC1_MA[1]</t>
  </si>
  <si>
    <t>LCU1_OUT8</t>
  </si>
  <si>
    <t>EIRQ[21]</t>
  </si>
  <si>
    <t>GPIO[77]/eMIOS_1_CH[3]_H/eMIOS_0_CH[23]_X/ADC1_MA[1]/LCU1_OUT8/EIRQ[21]</t>
  </si>
  <si>
    <t>PTC12</t>
  </si>
  <si>
    <t>GPIO[76]</t>
  </si>
  <si>
    <t>ADC1_MA[2]</t>
  </si>
  <si>
    <t>eMIOS_1_CH[2]_H</t>
  </si>
  <si>
    <t>LCU1_OUT9</t>
  </si>
  <si>
    <t>EIRQ[20]</t>
  </si>
  <si>
    <t>GPIO[76]/ADC1_MA[2]/eMIOS_1_CH[2]_H/eMIOS_0_CH[22]_X/LPSPI2_PCS1/LCU1_OUT9/EIRQ[20]</t>
  </si>
  <si>
    <t>PTC11</t>
  </si>
  <si>
    <t>GPIO[75]</t>
  </si>
  <si>
    <t>LPUART0_DTR_B</t>
  </si>
  <si>
    <t>eMIOS_1_CH[1]_H</t>
  </si>
  <si>
    <t>LCU1_OUT10</t>
  </si>
  <si>
    <t>LCU0_OUT0</t>
  </si>
  <si>
    <t>WKPU[18]/ADC0_S17</t>
  </si>
  <si>
    <t>EIRQ[19]</t>
  </si>
  <si>
    <t>TRGMUX_IN10</t>
  </si>
  <si>
    <t>GPIO[75]/LPUART0_DTR_B/eMIOS_1_CH[1]_H/FXIO_D15/LCU1_OUT10/LCU0_OUT0/EIRQ[19]/TRGMUX_IN10/WKPU[18]/ADC0_S17</t>
  </si>
  <si>
    <t>PTC10</t>
  </si>
  <si>
    <t>GPIO[74]</t>
  </si>
  <si>
    <t>LCU1_OUT11</t>
  </si>
  <si>
    <t>eMIOS_1_CH[0]_X</t>
  </si>
  <si>
    <t>LCU0_OUT1</t>
  </si>
  <si>
    <t>ADC1_X[3]</t>
  </si>
  <si>
    <t>EIRQ[18]</t>
  </si>
  <si>
    <t>LPUART0_DSR_B</t>
  </si>
  <si>
    <t>TRGMUX_IN11</t>
  </si>
  <si>
    <t>GPIO[74]/eMIOS_0_CH[6]_G/LPSPI2_PCS1/LCU1_OUT11/eMIOS_1_CH[0]_X/LCU0_OUT1/LPUART0_DSR_B/EIRQ[18]/TRGMUX_IN11/ADC1_X[3]</t>
  </si>
  <si>
    <t>PTB1</t>
  </si>
  <si>
    <t>GPIO[33]</t>
  </si>
  <si>
    <t>LPI2C0_SCLS</t>
  </si>
  <si>
    <t>LCU1_OUT4</t>
  </si>
  <si>
    <t>ADC1_S15/ADC0_S15</t>
  </si>
  <si>
    <t>HSE_TAMPER_EXTIN0</t>
  </si>
  <si>
    <t>GPIO[33]/LPI2C0_SCLS/LPUART0_TX/LPSPI0_SOUT/eMIOS_0_CH[7]_G/CAN0_TX/eMIOS_1_CH[5]_H/LCU1_OUT4/HSE_TAMPER_EXTIN0/EIRQ[9]/ADC1_S15/ADC0_S15</t>
  </si>
  <si>
    <t>PTB0</t>
  </si>
  <si>
    <t>GPIO[32]</t>
  </si>
  <si>
    <t>LPI2C0_SDAS</t>
  </si>
  <si>
    <t>LCU1_OUT5</t>
  </si>
  <si>
    <t>eMIOS_1_CH[6]_H</t>
  </si>
  <si>
    <t xml:space="preserve">HSE_TAMPER_LOOP_OUT0 </t>
  </si>
  <si>
    <t>WKPU[7]/ADC1_S14/ADC0_S14</t>
  </si>
  <si>
    <t>GPIO[32]/LPI2C0_SDAS/FXIO_D14/LPSPI0_PCS0/eMIOS_0_CH[3]_G/LCU1_OUT5/eMIOS_1_CH[6]_H/HSE_TAMPER_LOOP_OUT0 /CAN0_RX/LPUART0_RX/EIRQ[8]/WKPU[7]/ADC1_S14/ADC0_S14</t>
  </si>
  <si>
    <t>PTC9</t>
  </si>
  <si>
    <t>GPIO[73]</t>
  </si>
  <si>
    <t>LPUART0_RTS</t>
  </si>
  <si>
    <t>eMIOS_1_CH[8]_X</t>
  </si>
  <si>
    <t>LCU1_OUT6</t>
  </si>
  <si>
    <t>ADC0_S13/WKPU[10]</t>
  </si>
  <si>
    <t>EIRQ[17]</t>
  </si>
  <si>
    <t>GPIO[73]/LPI2C0_SDA/LPUART1_TX/LPUART0_RTS/eMIOS_1_CH[8]_X/LCU1_OUT6/LPSPI0_SIN/FXIO_D13/CAN1_RX/EIRQ[17]/ADC0_S13/WKPU[10]</t>
  </si>
  <si>
    <t>PTC8</t>
  </si>
  <si>
    <t>GPIO[72]</t>
  </si>
  <si>
    <t>LCU1_OUT7</t>
  </si>
  <si>
    <t>EIRQ[16]</t>
  </si>
  <si>
    <t>LPUART0_CTS</t>
  </si>
  <si>
    <t>GPIO[72]/LPI2C0_SCL/CAN1_TX/eMIOS_1_CH[9]_H/LCU1_OUT7/LPSPI0_SCK/FXIO_D12/LPUART0_CTS/LPUART1_RX/EIRQ[16]/ADC0_S12</t>
  </si>
  <si>
    <t>PTA7</t>
  </si>
  <si>
    <t>GPIO[7]</t>
  </si>
  <si>
    <t>ADC0_S11</t>
  </si>
  <si>
    <t>LPUART0_DCD_B</t>
  </si>
  <si>
    <t>GPIO[7]/LPUART3_TX/LPSPI0_PCS1/eMIOS_1_CH[11]_H/CAN0_TX/LPUART1_RTS/FXIO_D9/LPUART0_DCD_B/EIRQ[7]/ADC0_S11</t>
  </si>
  <si>
    <t>PTA6</t>
  </si>
  <si>
    <t>GPIO[6]</t>
  </si>
  <si>
    <t>LPSPI1_PCS1</t>
  </si>
  <si>
    <t>ADC1_S18/WKPU[15]/ADC0_S18</t>
  </si>
  <si>
    <t>EIRQ[6]</t>
  </si>
  <si>
    <t>LPUART0_RIN_B</t>
  </si>
  <si>
    <t>GPIO[6]/LPSPI1_PCS1/eMIOS_1_CH[13]_H/LPSPI3_PCS1/CAN0_RX/LPUART0_RIN_B/LPUART1_CTS/LPUART3_RX/EIRQ[6]/ADC1_S18/WKPU[15]/ADC0_S18</t>
  </si>
  <si>
    <t>PTE7</t>
  </si>
  <si>
    <t>GPIO[135]</t>
  </si>
  <si>
    <t>GPIO[135]/eMIOS_0_CH[7]_G/LPSPI3_SCK/FXIO_D11</t>
  </si>
  <si>
    <t>PTB17</t>
  </si>
  <si>
    <t>GPIO[49]</t>
  </si>
  <si>
    <t>LPSPI1_PCS3</t>
  </si>
  <si>
    <t>eMIOS_1_CH[7]_H</t>
  </si>
  <si>
    <t>ADC1_X[2]/WKPU[14]</t>
  </si>
  <si>
    <t>GPIO[49]/eMIOS_0_CH[5]_G/LPSPI1_PCS3/eMIOS_1_CH[7]_H/LPSPI3_PCS0/EIRQ[31]/ADC1_X[2]/WKPU[14]</t>
  </si>
  <si>
    <t>PTB16</t>
  </si>
  <si>
    <t>GPIO[48]</t>
  </si>
  <si>
    <t>LPSPI1_SOUT</t>
  </si>
  <si>
    <t>WKPU[13]/ADC1_S12</t>
  </si>
  <si>
    <t>GPIO[48]/eMIOS_0_CH[4]_G/LPSPI1_SOUT/EIRQ[30]/WKPU[13]/ADC1_S12</t>
  </si>
  <si>
    <t>PTB15</t>
  </si>
  <si>
    <t>GPIO[47]</t>
  </si>
  <si>
    <t>LPSPI1_SIN</t>
  </si>
  <si>
    <t>ADC1_S11/WKPU[33]</t>
  </si>
  <si>
    <t>GPIO[47]/eMIOS_0_CH[3]_G/LPSPI1_SIN/EIRQ[29]/ADC1_S11/WKPU[33]</t>
  </si>
  <si>
    <t>PTB14</t>
  </si>
  <si>
    <t>GPIO[46]</t>
  </si>
  <si>
    <t>LPSPI1_SCK</t>
  </si>
  <si>
    <t>LCU0_OUT7</t>
  </si>
  <si>
    <t>ADC0_S9/ADC1_S9</t>
  </si>
  <si>
    <t>GPIO[46]/eMIOS_0_CH[2]_G/LPSPI1_SCK/LCU0_OUT7/EIRQ[28]/ADC0_S9/ADC1_S9</t>
  </si>
  <si>
    <t>PTB13</t>
  </si>
  <si>
    <t>GPIO[45]</t>
  </si>
  <si>
    <t>LCU0_OUT3</t>
  </si>
  <si>
    <t>WKPU[11]/ADC0_S8/ADC1_S8</t>
  </si>
  <si>
    <t>GPIO[45]/LPSPI3_PCS2/eMIOS_0_CH[1]_G/FXIO_D8/LCU0_OUT3/LPUART0_RIN_B/EIRQ[27]/WKPU[11]/ADC0_S8/ADC1_S8</t>
  </si>
  <si>
    <t>PTB12</t>
  </si>
  <si>
    <t>GPIO[44]</t>
  </si>
  <si>
    <t>LCU0_OUT2</t>
  </si>
  <si>
    <t>ADC0_S17/ADC1_X[1]/WKPU[12]</t>
  </si>
  <si>
    <t>GPIO[44]/LPSPI3_PCS3/eMIOS_0_CH[0]_X/LCU0_OUT2/LPUART0_DCD_B/EIRQ[26]/ADC0_S17/ADC1_X[1]/WKPU[12]</t>
  </si>
  <si>
    <t>PTD4</t>
  </si>
  <si>
    <t>GPIO[100]</t>
  </si>
  <si>
    <t>eMIOS_1_CH[23]_X</t>
  </si>
  <si>
    <t>LCU0_OUT6</t>
  </si>
  <si>
    <t>ADC0_S19/WKPU[22]</t>
  </si>
  <si>
    <t>GPIO[100]/eMIOS_1_CH[23]_X/LPSPI1_PCS1/LCU0_OUT6/EIRQ[12]/ADC0_S19/WKPU[22]</t>
  </si>
  <si>
    <t>PTD3</t>
  </si>
  <si>
    <t>GPIO[99]</t>
  </si>
  <si>
    <t>eMIOS_1_CH[22]_X</t>
  </si>
  <si>
    <t>LPSPI1_PCS0</t>
  </si>
  <si>
    <t>ADC0_S10/NMI_b/WKPU[1]</t>
  </si>
  <si>
    <t>TRGMUX_IN4</t>
  </si>
  <si>
    <t>GPIO[99]/eMIOS_1_CH[22]_X/LPSPI1_PCS0/FXIO_D5/FXIO_D7/LCU0_OUT0/LPUART3_RX/EIRQ[11]/TRGMUX_IN4/ADC0_S10/NMI_b/WKPU[1]</t>
  </si>
  <si>
    <t>PTD2</t>
  </si>
  <si>
    <t>GPIO[98]</t>
  </si>
  <si>
    <t>eMIOS_1_CH[21]_Y</t>
  </si>
  <si>
    <t>WKPU[9]/ADC0_S16</t>
  </si>
  <si>
    <t>TRGMUX_IN5</t>
  </si>
  <si>
    <t>GPIO[98]/LCU0_OUT1/eMIOS_1_CH[21]_Y/LPSPI1_SOUT/FXIO_D4/FXIO_D6/LPUART3_TX/EIRQ[10]/TRGMUX_IN5/WKPU[9]/ADC0_S16</t>
  </si>
  <si>
    <t>PTA3</t>
  </si>
  <si>
    <t>GPIO[3]</t>
  </si>
  <si>
    <t>eMIOS_1_CH[20]_Y</t>
  </si>
  <si>
    <t>ADC1_S17</t>
  </si>
  <si>
    <t>GPIO[3]/FCCU_ERR1/eMIOS_1_CH[20]_Y/LPSPI1_SCK/LCU0_OUT2/FXIO_D5/LPUART0_TX/FCCU_ERR_IN1/EIRQ[3]/ADC1_S17</t>
  </si>
  <si>
    <t>TSPC_ADC1</t>
  </si>
  <si>
    <t>PTA2</t>
  </si>
  <si>
    <t>GPIO[2]</t>
  </si>
  <si>
    <t>eMIOS_1_CH[19]_Y</t>
  </si>
  <si>
    <t>ADC1_X[0]/WKPU[0]</t>
  </si>
  <si>
    <t>GPIO[2]/FCCU_ERR0/eMIOS_1_CH[19]_Y/FXIO_D4/LCU0_OUT3/FCCU_ERR_IN0/LPSPI1_SIN/LPUART0_RX/EIRQ[2]/ADC1_X[0]/WKPU[0]</t>
  </si>
  <si>
    <t>TSPC_GPIO1</t>
  </si>
  <si>
    <t>PTB11</t>
  </si>
  <si>
    <t>GPIO[43]</t>
  </si>
  <si>
    <t>eMIOS_1_CH[18]_Y</t>
  </si>
  <si>
    <t>LCU0_OUT8</t>
  </si>
  <si>
    <t>ADC0_X[3]/WKPU[16]</t>
  </si>
  <si>
    <t>LPI2C0_HREQ</t>
  </si>
  <si>
    <t>GPIO[43]/eMIOS_1_CH[18]_Y/LCU0_OUT8/LPI2C0_HREQ/LPUART0_DSR_B/EIRQ[25]/ADC0_X[3]/WKPU[16]</t>
  </si>
  <si>
    <t>PTB10</t>
  </si>
  <si>
    <t>GPIO[42]</t>
  </si>
  <si>
    <t>eMIOS_1_CH[17]_Y</t>
  </si>
  <si>
    <t>LCU0_OUT9</t>
  </si>
  <si>
    <t>ADC0_X[2]</t>
  </si>
  <si>
    <t>GPIO[42]/eMIOS_1_CH[17]_Y/LPUART0_DTR_B/LCU0_OUT9/EIRQ[24]/ADC0_X[2]</t>
  </si>
  <si>
    <t>PTB9</t>
  </si>
  <si>
    <t>GPIO[41]</t>
  </si>
  <si>
    <t>eMIOS_1_CH[16]_X</t>
  </si>
  <si>
    <t>LCU0_OUT10</t>
  </si>
  <si>
    <t>ADC0_X[1]/WKPU[17]</t>
  </si>
  <si>
    <t>LPUART1_RIN_B</t>
  </si>
  <si>
    <t>GPIO[41]/eMIOS_1_CH[16]_X/LCU0_OUT10/LPUART1_RIN_B/EIRQ[15]/ADC0_X[1]/WKPU[17]</t>
  </si>
  <si>
    <t>PTB8</t>
  </si>
  <si>
    <t>GPIO[40]</t>
  </si>
  <si>
    <t>LCU0_OUT11</t>
  </si>
  <si>
    <t>LPSPI0_PCS5</t>
  </si>
  <si>
    <t>ADC0_X[0]/WKPU[25]</t>
  </si>
  <si>
    <t>LPUART1_DCD_B</t>
  </si>
  <si>
    <t>GPIO[40]/eMIOS_1_CH[15]_H/LCU0_OUT11/LPSPI0_PCS5/LPUART1_DCD_B/EIRQ[14]/ADC0_X[0]/WKPU[25]</t>
  </si>
  <si>
    <t>PTA1</t>
  </si>
  <si>
    <t>GPIO[1]</t>
  </si>
  <si>
    <t>LCU0_OUT5</t>
  </si>
  <si>
    <t>LPSPI0_PCS6</t>
  </si>
  <si>
    <t>TRGMUX_OUT0</t>
  </si>
  <si>
    <t>ADC0_S9/WKPU[5]</t>
  </si>
  <si>
    <t>GPIO[1]/eMIOS_0_CH[9]_H/LPUART0_RTS/FXIO_D3/LCU0_OUT5/LPSPI0_PCS6/TRGMUX_OUT0/EIRQ[1]/ADC0_S9/WKPU[5]</t>
  </si>
  <si>
    <t>PTA0</t>
  </si>
  <si>
    <t>GPIO[0]</t>
  </si>
  <si>
    <t>LCU0_OUT4</t>
  </si>
  <si>
    <t>LPSPI0_PCS7</t>
  </si>
  <si>
    <t>TRGMUX_OUT3</t>
  </si>
  <si>
    <t>ADC0_S8</t>
  </si>
  <si>
    <t>GPIO[0]/eMIOS_0_CH[17]_Y/LCU0_OUT4/FXIO_D2/eMIOS_1_CH[0]_X/LPSPI0_PCS7/TRGMUX_OUT3/LPUART0_CTS/EIRQ[0]/ADC0_S8</t>
  </si>
  <si>
    <t>PTC7</t>
  </si>
  <si>
    <t>GPIO[71]</t>
  </si>
  <si>
    <t>WKPU[2]/ADC1_S16</t>
  </si>
  <si>
    <t>GPIO[71]/FXIO_D10/LPUART1_TX/LPI2C1_SCL/LCU0_OUT6/eMIOS_1_CH[7]_H/LPSPI0_PCS0/CAN2_TX/LPI2C0_HREQ/EIRQ[7]/WKPU[2]/ADC1_S16</t>
  </si>
  <si>
    <t>TSPC_ADC1/TSPC_GPIO1</t>
  </si>
  <si>
    <t>PTC6</t>
  </si>
  <si>
    <t>GPIO[70]</t>
  </si>
  <si>
    <t>WKPU[3]/ADC1_S18</t>
  </si>
  <si>
    <t>GPIO[70]/LPI2C1_SDA/FXIO_D11/LPSPI1_PCS1/LCU0_OUT7/eMIOS_1_CH[6]_H/LPSPI0_PCS1/ADC0_MA[2]/CAN2_RX/LPUART1_RX/EIRQ[6]/WKPU[3]/ADC1_S18</t>
  </si>
  <si>
    <t>PTA16</t>
  </si>
  <si>
    <t>GPIO[16]</t>
  </si>
  <si>
    <t>LPSPI1_PCS2</t>
  </si>
  <si>
    <t>LPSPI0_PCS4</t>
  </si>
  <si>
    <t>ADC1_S13/WKPU[31]</t>
  </si>
  <si>
    <t>EIRQ[4]</t>
  </si>
  <si>
    <t>LPUART1_DSR_B</t>
  </si>
  <si>
    <t>GPIO[16]/eMIOS_0_CH[11]_H/LPSPI1_PCS2/LPSPI0_PCS4/LPUART1_DSR_B/EIRQ[4]/ADC1_S13/WKPU[31]</t>
  </si>
  <si>
    <t>PTA15</t>
  </si>
  <si>
    <t>GPIO[15]</t>
  </si>
  <si>
    <t>LPSPI2_PCS3</t>
  </si>
  <si>
    <t>LPUART1_DTR_B</t>
  </si>
  <si>
    <t>ADC1_P7/WKPU[20]</t>
  </si>
  <si>
    <t>GPIO[15]/eMIOS_0_CH[10]_H/LPSPI0_PCS3/LPSPI2_PCS3/LPUART1_DTR_B/EIRQ[23]/ADC1_P7/WKPU[20]</t>
  </si>
  <si>
    <t>PTE6</t>
  </si>
  <si>
    <t>GPIO[134]</t>
  </si>
  <si>
    <t>ADC1_P6/WKPU[29]</t>
  </si>
  <si>
    <t>GPIO[134]/LPSPI0_PCS2/LPUART1_RTS/eMIOS_1_CH[14]_H/FXIO_D12/ADC0_MA[1]/EIRQ[6]/ADC1_P6/WKPU[29]</t>
  </si>
  <si>
    <t>PTE2</t>
  </si>
  <si>
    <t>GPIO[130]</t>
  </si>
  <si>
    <t>WKPU[27]/ADC1_P5</t>
  </si>
  <si>
    <t>GPIO[130]/LPSPI0_SOUT/eMIOS_0_CH[3]_G/eMIOS_1_CH[8]_X/FXIO_D13/ADC0_MA[0]/LPUART1_CTS/EIRQ[2]/WKPU[27]/ADC1_P5</t>
  </si>
  <si>
    <t>PTA14</t>
  </si>
  <si>
    <t>GPIO[14]</t>
  </si>
  <si>
    <t>ADC1_P4</t>
  </si>
  <si>
    <t>GPIO[14]/eMIOS_1_CH[4]_H/LPSPI1_PCS3/FXIO_D14/EIRQ[22]/ADC1_P4</t>
  </si>
  <si>
    <t>PTA13</t>
  </si>
  <si>
    <t>GPIO[13]</t>
  </si>
  <si>
    <t>LPSPI1_PCS4</t>
  </si>
  <si>
    <t>WKPU[4]/ADC1_P1</t>
  </si>
  <si>
    <t>GPIO[13]/LPSPI1_PCS4/eMIOS_0_CH[15]_H/FXIO_D8/eMIOS_1_CH[3]_H/EIRQ[21]/WKPU[4]/ADC1_P1</t>
  </si>
  <si>
    <t>PTA12</t>
  </si>
  <si>
    <t>GPIO[12]</t>
  </si>
  <si>
    <t>LPSPI1_PCS5</t>
  </si>
  <si>
    <t>ADC1_P0</t>
  </si>
  <si>
    <t>GPIO[12]/LPSPI1_PCS5/eMIOS_0_CH[14]_H/CLKOUT_STANDBY/FXIO_D9/eMIOS_1_CH[2]_H/CAN1_RX/EIRQ[20]/ADC1_P0</t>
  </si>
  <si>
    <t>PTA11</t>
  </si>
  <si>
    <t>GPIO[11]</t>
  </si>
  <si>
    <t>ADC1_S10</t>
  </si>
  <si>
    <t>GPIO[11]/CAN1_TX/eMIOS_0_CH[13]_H/eMIOS_1_CH[1]_H/FXIO_D1/CMP0_RRT/LPSPI1_PCS0/EIRQ[19]/ADC1_S10</t>
  </si>
  <si>
    <t>PTA10</t>
  </si>
  <si>
    <t>JTAG_TDO/TRACEnoETM_SWO</t>
  </si>
  <si>
    <t>GPIO[10]</t>
  </si>
  <si>
    <t>WKPU[32]/ADC0_P2</t>
  </si>
  <si>
    <t>GPIO[10]/eMIOS_0_CH[12]_H/FXIO_D0/JTAG_TDO/TRACEnoETM_SWO/EIRQ[18]/WKPU[32]/ADC0_P2</t>
  </si>
  <si>
    <t>PTE1</t>
  </si>
  <si>
    <t>GPIO[129]</t>
  </si>
  <si>
    <t>ADC1_P3</t>
  </si>
  <si>
    <t>GPIO[129]/LPSPI0_SCK/FXIO_D2/EIRQ[1]/ADC1_P3</t>
  </si>
  <si>
    <t>PTE0</t>
  </si>
  <si>
    <t>GPIO[128]</t>
  </si>
  <si>
    <t>WKPU[26]/ADC1_P2</t>
  </si>
  <si>
    <t>GPIO[128]/LPSPI0_SIN/FXIO_D3/EIRQ[0]/WKPU[26]/ADC1_P2</t>
  </si>
  <si>
    <t>PTC5</t>
  </si>
  <si>
    <t>GPIO[69]</t>
  </si>
  <si>
    <t>ADC1_S14</t>
  </si>
  <si>
    <t>EIRQ[5]</t>
  </si>
  <si>
    <t>JTAG_TDI</t>
  </si>
  <si>
    <t>GPIO[69]/eMIOS_0_CH[16]_X/FXIO_D4/JTAG_TDI/LPI2C1_HREQ/EIRQ[5]/ADC1_S14</t>
  </si>
  <si>
    <t>PTC4</t>
  </si>
  <si>
    <t>GPIO[68]</t>
  </si>
  <si>
    <t>JTAG_TCK/SWD_CLK</t>
  </si>
  <si>
    <t>GPIO[68]/eMIOS_0_CH[8]_X/FXIO_D5/LPI2C1_SCL/JTAG_TCK/SWD_CLK/EIRQ[4]</t>
  </si>
  <si>
    <t>PTA5</t>
  </si>
  <si>
    <t>GPIO[5]</t>
  </si>
  <si>
    <t>RESET_b</t>
  </si>
  <si>
    <t>GPIO[5]/RESET_b/EIRQ[5]</t>
  </si>
  <si>
    <t>c40esf3_p_io_rst_mv</t>
  </si>
  <si>
    <t>PTA4</t>
  </si>
  <si>
    <t>JTAG_TMS/SWD_DIO</t>
  </si>
  <si>
    <t>GPIO[4]</t>
  </si>
  <si>
    <t>ADC1_S15</t>
  </si>
  <si>
    <t>GPIO[4]/FXIO_D6/CMP0_OUT/JTAG_TMS/SWD_DIO/LPI2C1_SDA/EIRQ[4]/ADC1_S15</t>
  </si>
  <si>
    <t>PTA9</t>
  </si>
  <si>
    <t>GPIO[9]</t>
  </si>
  <si>
    <t>WKPU[21]/ADC0_P7</t>
  </si>
  <si>
    <t>GPIO[9]/LPUART2_TX/LPSPI2_PCS0/FXIO_D7/LPSPI3_PCS0/EIRQ[17]/WKPU[21]/ADC0_P7</t>
  </si>
  <si>
    <t>PTA8</t>
  </si>
  <si>
    <t>GPIO[8]</t>
  </si>
  <si>
    <t>WKPU[23]/ADC0_P2</t>
  </si>
  <si>
    <t>GPIO[8]/eMIOS_1_CH[12]_H/LPSPI2_SOUT/FXIO_D6/LPUART2_RX/EIRQ[16]/WKPU[23]/ADC0_P2</t>
  </si>
  <si>
    <t>PTA17</t>
  </si>
  <si>
    <t>GPIO[17]</t>
  </si>
  <si>
    <t>GPIO[17]/eMIOS_0_CH[6]_G/LPSPI3_SOUT/TRGMUX_OUT0</t>
  </si>
  <si>
    <t>Port</t>
  </si>
  <si>
    <t>CR</t>
  </si>
  <si>
    <t>SSS</t>
  </si>
  <si>
    <t>Function</t>
  </si>
  <si>
    <t>Module</t>
  </si>
  <si>
    <t>Direction</t>
  </si>
  <si>
    <t>Pad Type</t>
  </si>
  <si>
    <t>I/O Power Domain</t>
  </si>
  <si>
    <t>Pad State During Destructive Reset</t>
  </si>
  <si>
    <t>Pad State After Destructive Reset</t>
  </si>
  <si>
    <t>Pad State During Functional Reset</t>
  </si>
  <si>
    <t>Pad State After Functional Reset</t>
  </si>
  <si>
    <t>Pad State After Selftest</t>
  </si>
  <si>
    <t>Pad State After FCCU Error</t>
  </si>
  <si>
    <t>OBE[21]</t>
  </si>
  <si>
    <t>IBE[19]</t>
  </si>
  <si>
    <t>INV[17]</t>
  </si>
  <si>
    <t>PKE[16]</t>
  </si>
  <si>
    <t>SRC[14]</t>
  </si>
  <si>
    <t>PUE[13]</t>
  </si>
  <si>
    <t>PUS[11]</t>
  </si>
  <si>
    <t>DSE[8]</t>
  </si>
  <si>
    <t>IFE[6]</t>
  </si>
  <si>
    <t>SMC[5]</t>
  </si>
  <si>
    <t>SSS[3:0]</t>
  </si>
  <si>
    <t>Reset[31:0]</t>
  </si>
  <si>
    <t>Bits Configurable[31:0]</t>
  </si>
  <si>
    <t>SIUL_MSCR0</t>
  </si>
  <si>
    <t>0000_0000</t>
  </si>
  <si>
    <t>SIUL</t>
  </si>
  <si>
    <t>I/O</t>
  </si>
  <si>
    <t>GPIO-STANDARD</t>
  </si>
  <si>
    <t>Hi-Z</t>
  </si>
  <si>
    <t>0</t>
  </si>
  <si>
    <t>-</t>
  </si>
  <si>
    <t>0000</t>
  </si>
  <si>
    <t>'00000000000000000000000000000000'</t>
  </si>
  <si>
    <t>'00000000001010110010100000101111'</t>
  </si>
  <si>
    <t>0000_0010</t>
  </si>
  <si>
    <t>eMIOS_0</t>
  </si>
  <si>
    <t>eMIOS Channel</t>
  </si>
  <si>
    <t>O</t>
  </si>
  <si>
    <t>0000_0011</t>
  </si>
  <si>
    <t>LCU0</t>
  </si>
  <si>
    <t>LCU Output</t>
  </si>
  <si>
    <t>0000_0100</t>
  </si>
  <si>
    <t>FXIO</t>
  </si>
  <si>
    <t>FlexIO Bi-directional Shift/timer I/O</t>
  </si>
  <si>
    <t>0000_0101</t>
  </si>
  <si>
    <t>eMIOS_1</t>
  </si>
  <si>
    <t>0000_0110</t>
  </si>
  <si>
    <t>LPSPI0</t>
  </si>
  <si>
    <t>Peripheral Chip Select 7</t>
  </si>
  <si>
    <t>0000_0111</t>
  </si>
  <si>
    <t>TRGMUX</t>
  </si>
  <si>
    <t>Trigger Mux Output</t>
  </si>
  <si>
    <t>ADC0</t>
  </si>
  <si>
    <t>ADC Standard Input</t>
  </si>
  <si>
    <t>I</t>
  </si>
  <si>
    <t>SIUL_IMCR528</t>
  </si>
  <si>
    <t>0000_0001</t>
  </si>
  <si>
    <t>External Interrupt</t>
  </si>
  <si>
    <t>SIUL_IMCR577</t>
  </si>
  <si>
    <t>SIUL_IMCR592</t>
  </si>
  <si>
    <t>SIUL_IMCR666</t>
  </si>
  <si>
    <t>SIUL_IMCR740</t>
  </si>
  <si>
    <t>SIUL_IMCR872</t>
  </si>
  <si>
    <t>LPUART0</t>
  </si>
  <si>
    <t>Clear To Send (bar)</t>
  </si>
  <si>
    <t>SIUL_MSCR1</t>
  </si>
  <si>
    <t>Request To Send</t>
  </si>
  <si>
    <t>Peripheral Chip Select 6</t>
  </si>
  <si>
    <t>ADC0_S9</t>
  </si>
  <si>
    <t>WKPU[5]</t>
  </si>
  <si>
    <t>WKPU</t>
  </si>
  <si>
    <t>Wakeup Input</t>
  </si>
  <si>
    <t>SIUL_IMCR529</t>
  </si>
  <si>
    <t>SIUL_IMCR569</t>
  </si>
  <si>
    <t>SIUL_IMCR667</t>
  </si>
  <si>
    <t>SIUL_IMCR739</t>
  </si>
  <si>
    <t>SIUL_MSCR2</t>
  </si>
  <si>
    <t>DCF</t>
  </si>
  <si>
    <t>FCCU</t>
  </si>
  <si>
    <t>FCCU Error 0 Output</t>
  </si>
  <si>
    <t>ADC1_X[0]</t>
  </si>
  <si>
    <t>ADC1</t>
  </si>
  <si>
    <t>ADC External Input</t>
  </si>
  <si>
    <t>WKPU[0]</t>
  </si>
  <si>
    <t>SIUL_IMCR530</t>
  </si>
  <si>
    <t>SIUL_IMCR611</t>
  </si>
  <si>
    <t>SIUL_IMCR660</t>
  </si>
  <si>
    <t>FCCU Error 0 Input</t>
  </si>
  <si>
    <t>SIUL_IMCR668</t>
  </si>
  <si>
    <t>SIUL_IMCR699</t>
  </si>
  <si>
    <t>Receive</t>
  </si>
  <si>
    <t>SIUL_IMCR751</t>
  </si>
  <si>
    <t>LPSPI1</t>
  </si>
  <si>
    <t>LPSPI Serial Data Input</t>
  </si>
  <si>
    <t>SIUL_MSCR3</t>
  </si>
  <si>
    <t>FCCU Error 1 Output</t>
  </si>
  <si>
    <t>LPSPI Serial Clock I/O</t>
  </si>
  <si>
    <t>Transmit</t>
  </si>
  <si>
    <t>SIUL_IMCR531</t>
  </si>
  <si>
    <t>SIUL_IMCR612</t>
  </si>
  <si>
    <t>SIUL_IMCR661</t>
  </si>
  <si>
    <t>FCCU Error 1 Input</t>
  </si>
  <si>
    <t>SIUL_IMCR669</t>
  </si>
  <si>
    <t>SIUL_IMCR750</t>
  </si>
  <si>
    <t>SIUL_IMCR875</t>
  </si>
  <si>
    <t>SIUL_MSCR4</t>
  </si>
  <si>
    <t>GPIO-STANDARD-PLUS</t>
  </si>
  <si>
    <t>1</t>
  </si>
  <si>
    <t>0111</t>
  </si>
  <si>
    <t>'00000000000010000010100000100111'</t>
  </si>
  <si>
    <t>'00000000001010110010100100101111'</t>
  </si>
  <si>
    <t>CMP0</t>
  </si>
  <si>
    <t>Comparator Output trigger</t>
  </si>
  <si>
    <t>JTAG</t>
  </si>
  <si>
    <t>JTAG Test Mode Select</t>
  </si>
  <si>
    <t>0000_1000</t>
  </si>
  <si>
    <t>LPI2C1</t>
  </si>
  <si>
    <t>LPI2C Data I/O</t>
  </si>
  <si>
    <t>SIUL_IMCR532</t>
  </si>
  <si>
    <t>SIUL_IMCR670</t>
  </si>
  <si>
    <t>SIUL_IMCR698</t>
  </si>
  <si>
    <t>SIUL_IMCR731</t>
  </si>
  <si>
    <t>SIUL_MSCR5</t>
  </si>
  <si>
    <t>'00000000001010110010100101101111'</t>
  </si>
  <si>
    <t>SYSTEM</t>
  </si>
  <si>
    <t>Reset I/O</t>
  </si>
  <si>
    <t>SIUL_IMCR533</t>
  </si>
  <si>
    <t>SIUL_MSCR6</t>
  </si>
  <si>
    <t>Peripheral Chip Select 1</t>
  </si>
  <si>
    <t>LPSPI3</t>
  </si>
  <si>
    <t>WKPU[15]</t>
  </si>
  <si>
    <t>ADC0_S18</t>
  </si>
  <si>
    <t>ADC1_S18</t>
  </si>
  <si>
    <t>SIUL_IMCR512</t>
  </si>
  <si>
    <t>CAN0</t>
  </si>
  <si>
    <t>CAN Rx channel</t>
  </si>
  <si>
    <t>SIUL_IMCR534</t>
  </si>
  <si>
    <t>SIUL_IMCR605</t>
  </si>
  <si>
    <t>SIUL_IMCR702</t>
  </si>
  <si>
    <t>LPUART3</t>
  </si>
  <si>
    <t>SIUL_IMCR745</t>
  </si>
  <si>
    <t>SIUL_IMCR761</t>
  </si>
  <si>
    <t>SIUL_IMCR873</t>
  </si>
  <si>
    <t>LPUART1</t>
  </si>
  <si>
    <t>SIUL_IMCR887</t>
  </si>
  <si>
    <t>Ring Indicator</t>
  </si>
  <si>
    <t>SIUL_MSCR7</t>
  </si>
  <si>
    <t>CAN Tx Channel</t>
  </si>
  <si>
    <t>SIUL_IMCR535</t>
  </si>
  <si>
    <t>SIUL_IMCR603</t>
  </si>
  <si>
    <t>SIUL_IMCR673</t>
  </si>
  <si>
    <t>SIUL_IMCR734</t>
  </si>
  <si>
    <t>SIUL_IMCR878</t>
  </si>
  <si>
    <t>SIUL_IMCR886</t>
  </si>
  <si>
    <t>Data Carrier Detect</t>
  </si>
  <si>
    <t>SIUL_MSCR8</t>
  </si>
  <si>
    <t>LPSPI2</t>
  </si>
  <si>
    <t>LPSPI Serial Data Output</t>
  </si>
  <si>
    <t>WKPU[23]</t>
  </si>
  <si>
    <t>ADC0_P2</t>
  </si>
  <si>
    <t>ADC Precise Input</t>
  </si>
  <si>
    <t>SIUL_IMCR544</t>
  </si>
  <si>
    <t>SIUL_IMCR604</t>
  </si>
  <si>
    <t>SIUL_IMCR701</t>
  </si>
  <si>
    <t>LPUART2</t>
  </si>
  <si>
    <t>SIUL_IMCR759</t>
  </si>
  <si>
    <t>SIUL_MSCR9</t>
  </si>
  <si>
    <t>Peripheral Chip Select 0</t>
  </si>
  <si>
    <t>WKPU[21]</t>
  </si>
  <si>
    <t>ADC0_P7</t>
  </si>
  <si>
    <t>SIUL_IMCR545</t>
  </si>
  <si>
    <t>SIUL_IMCR671</t>
  </si>
  <si>
    <t>SIUL_IMCR753</t>
  </si>
  <si>
    <t>SIUL_IMCR760</t>
  </si>
  <si>
    <t>SIUL_IMCR877</t>
  </si>
  <si>
    <t>SIUL_MSCR10</t>
  </si>
  <si>
    <t>GPIO-MEDIUM</t>
  </si>
  <si>
    <t>JTAG_TDO</t>
  </si>
  <si>
    <t>'00000000000000000000000100100111'</t>
  </si>
  <si>
    <t>'00000000001010110110100100101111'</t>
  </si>
  <si>
    <t>JTAG/TRACEnoETM</t>
  </si>
  <si>
    <t>JTAG Test Data Output/Trace Output</t>
  </si>
  <si>
    <t>WKPU[32]</t>
  </si>
  <si>
    <t>SIUL_IMCR546</t>
  </si>
  <si>
    <t>SIUL_IMCR572</t>
  </si>
  <si>
    <t>SIUL_IMCR664</t>
  </si>
  <si>
    <t>SIUL_MSCR11</t>
  </si>
  <si>
    <t>CAN1</t>
  </si>
  <si>
    <t>Round Robin port output Trigger</t>
  </si>
  <si>
    <t>SIUL_IMCR547</t>
  </si>
  <si>
    <t>SIUL_IMCR573</t>
  </si>
  <si>
    <t>SIUL_IMCR593</t>
  </si>
  <si>
    <t>SIUL_IMCR665</t>
  </si>
  <si>
    <t>SIUL_IMCR744</t>
  </si>
  <si>
    <t>SIUL_MSCR12</t>
  </si>
  <si>
    <t>0011</t>
  </si>
  <si>
    <t>'00000000000000000000000000000011'</t>
  </si>
  <si>
    <t>Peripheral Chip Select 5</t>
  </si>
  <si>
    <t>SIUL_IMCR513</t>
  </si>
  <si>
    <t>SIUL_IMCR548</t>
  </si>
  <si>
    <t>SIUL_IMCR574</t>
  </si>
  <si>
    <t>SIUL_IMCR594</t>
  </si>
  <si>
    <t>SIUL_IMCR749</t>
  </si>
  <si>
    <t>SIUL_MSCR13</t>
  </si>
  <si>
    <t>Peripheral Chip Select 4</t>
  </si>
  <si>
    <t>WKPU[4]</t>
  </si>
  <si>
    <t>ADC1_P1</t>
  </si>
  <si>
    <t>SIUL_IMCR549</t>
  </si>
  <si>
    <t>SIUL_IMCR575</t>
  </si>
  <si>
    <t>SIUL_IMCR595</t>
  </si>
  <si>
    <t>SIUL_IMCR672</t>
  </si>
  <si>
    <t>SIUL_IMCR748</t>
  </si>
  <si>
    <t>SIUL_MSCR14</t>
  </si>
  <si>
    <t>Peripheral Chip Select 3</t>
  </si>
  <si>
    <t>SIUL_IMCR550</t>
  </si>
  <si>
    <t>SIUL_IMCR596</t>
  </si>
  <si>
    <t>SIUL_IMCR678</t>
  </si>
  <si>
    <t>SIUL_IMCR747</t>
  </si>
  <si>
    <t>SIUL_MSCR15</t>
  </si>
  <si>
    <t>Data Terminal Ready</t>
  </si>
  <si>
    <t>ADC1_P7</t>
  </si>
  <si>
    <t>WKPU[20]</t>
  </si>
  <si>
    <t>SIUL_IMCR551</t>
  </si>
  <si>
    <t>SIUL_IMCR570</t>
  </si>
  <si>
    <t>SIUL_IMCR736</t>
  </si>
  <si>
    <t>SIUL_IMCR756</t>
  </si>
  <si>
    <t>SIUL_MSCR16</t>
  </si>
  <si>
    <t>Peripheral Chip Select 2</t>
  </si>
  <si>
    <t>ADC1_S13</t>
  </si>
  <si>
    <t>WKPU[31]</t>
  </si>
  <si>
    <t>SIUL_IMCR571</t>
  </si>
  <si>
    <t>SIUL_IMCR737</t>
  </si>
  <si>
    <t>SIUL_IMCR746</t>
  </si>
  <si>
    <t>SIUL_IMCR890</t>
  </si>
  <si>
    <t>Data Set Ready</t>
  </si>
  <si>
    <t>SIUL_MSCR17</t>
  </si>
  <si>
    <t>000</t>
  </si>
  <si>
    <t>'00000000001010110010100000100111'</t>
  </si>
  <si>
    <t>SIUL_IMCR566</t>
  </si>
  <si>
    <t>SIUL_IMCR766</t>
  </si>
  <si>
    <t>SIUL_MSCR32</t>
  </si>
  <si>
    <t>LPI2C0</t>
  </si>
  <si>
    <t>LPI2C Secondary Data I/O</t>
  </si>
  <si>
    <t>LCU1</t>
  </si>
  <si>
    <t>HSE</t>
  </si>
  <si>
    <t>HSE External Tamper Output</t>
  </si>
  <si>
    <t>WKPU[7]</t>
  </si>
  <si>
    <t>SIUL_IMCR536</t>
  </si>
  <si>
    <t>SIUL_IMCR563</t>
  </si>
  <si>
    <t>SIUL_IMCR598</t>
  </si>
  <si>
    <t>SIUL_IMCR727</t>
  </si>
  <si>
    <t>SIUL_IMCR733</t>
  </si>
  <si>
    <t>SIUL_MSCR33</t>
  </si>
  <si>
    <t>LPI2C Secondary Clock I/O</t>
  </si>
  <si>
    <t>ADC0_S15</t>
  </si>
  <si>
    <t>SIUL_IMCR537</t>
  </si>
  <si>
    <t>SIUL_IMCR567</t>
  </si>
  <si>
    <t>SIUL_IMCR597</t>
  </si>
  <si>
    <t>SIUL_IMCR725</t>
  </si>
  <si>
    <t>SIUL_IMCR743</t>
  </si>
  <si>
    <t>SIUL_IMCR855</t>
  </si>
  <si>
    <t>HSE Tamper External Input</t>
  </si>
  <si>
    <t>SIUL_MSCR34</t>
  </si>
  <si>
    <t>ADC Mux Output</t>
  </si>
  <si>
    <t>SIUL_IMCR538</t>
  </si>
  <si>
    <t>SIUL_IMCR568</t>
  </si>
  <si>
    <t>SIUL_IMCR758</t>
  </si>
  <si>
    <t>SIUL_IMCR859</t>
  </si>
  <si>
    <t>Trigger Mux Input</t>
  </si>
  <si>
    <t>SIUL_MSCR35</t>
  </si>
  <si>
    <t>SIUL_IMCR539</t>
  </si>
  <si>
    <t>SIUL_IMCR858</t>
  </si>
  <si>
    <t>SIUL_MSCR36</t>
  </si>
  <si>
    <t>External Clock Output</t>
  </si>
  <si>
    <t>SIUL_IMCR540</t>
  </si>
  <si>
    <t>SIUL_IMCR564</t>
  </si>
  <si>
    <t>SIUL_IMCR602</t>
  </si>
  <si>
    <t>SIUL_IMCR857</t>
  </si>
  <si>
    <t>SIUL_MSCR37</t>
  </si>
  <si>
    <t>SIUL_IMCR541</t>
  </si>
  <si>
    <t>SIUL_IMCR565</t>
  </si>
  <si>
    <t>SIUL_IMCR856</t>
  </si>
  <si>
    <t>SIUL_MSCR40</t>
  </si>
  <si>
    <t>ADC0_X[0]</t>
  </si>
  <si>
    <t>WKPU[25]</t>
  </si>
  <si>
    <t>SIUL_IMCR542</t>
  </si>
  <si>
    <t>SIUL_IMCR607</t>
  </si>
  <si>
    <t>SIUL_IMCR738</t>
  </si>
  <si>
    <t>SIUL_IMCR889</t>
  </si>
  <si>
    <t>SIUL_MSCR41</t>
  </si>
  <si>
    <t>ADC0_X[1]</t>
  </si>
  <si>
    <t>WKPU[17]</t>
  </si>
  <si>
    <t>SIUL_IMCR543</t>
  </si>
  <si>
    <t>SIUL_IMCR608</t>
  </si>
  <si>
    <t>SIUL_IMCR888</t>
  </si>
  <si>
    <t>SIUL_MSCR42</t>
  </si>
  <si>
    <t>SIUL_IMCR552</t>
  </si>
  <si>
    <t>SIUL_IMCR609</t>
  </si>
  <si>
    <t>SIUL_MSCR43</t>
  </si>
  <si>
    <t>ADC0_X[3]</t>
  </si>
  <si>
    <t>WKPU[16]</t>
  </si>
  <si>
    <t>SIUL_IMCR553</t>
  </si>
  <si>
    <t>SIUL_IMCR610</t>
  </si>
  <si>
    <t>SIUL_IMCR723</t>
  </si>
  <si>
    <t>LPI2C Host Request Input</t>
  </si>
  <si>
    <t>SIUL_IMCR885</t>
  </si>
  <si>
    <t>SIUL_MSCR44</t>
  </si>
  <si>
    <t>ADC1_X[1]</t>
  </si>
  <si>
    <t>WKPU[12]</t>
  </si>
  <si>
    <t>ADC0_S17</t>
  </si>
  <si>
    <t>SIUL_IMCR554</t>
  </si>
  <si>
    <t>SIUL_IMCR560</t>
  </si>
  <si>
    <t>SIUL_IMCR763</t>
  </si>
  <si>
    <t>SIUL_MSCR45</t>
  </si>
  <si>
    <t>ADC1_S8</t>
  </si>
  <si>
    <t>WKPU[11]</t>
  </si>
  <si>
    <t>SIUL_IMCR555</t>
  </si>
  <si>
    <t>SIUL_IMCR561</t>
  </si>
  <si>
    <t>SIUL_IMCR762</t>
  </si>
  <si>
    <t>SIUL_MSCR46</t>
  </si>
  <si>
    <t>ADC1_S9</t>
  </si>
  <si>
    <t>SIUL_IMCR556</t>
  </si>
  <si>
    <t>SIUL_IMCR562</t>
  </si>
  <si>
    <t>SIUL_MSCR47</t>
  </si>
  <si>
    <t>ADC1_S11</t>
  </si>
  <si>
    <t>WKPU[33]</t>
  </si>
  <si>
    <t>SIUL_IMCR557</t>
  </si>
  <si>
    <t>SIUL_MSCR48</t>
  </si>
  <si>
    <t>WKPU[13]</t>
  </si>
  <si>
    <t>ADC1_S12</t>
  </si>
  <si>
    <t>SIUL_IMCR558</t>
  </si>
  <si>
    <t>SIUL_IMCR752</t>
  </si>
  <si>
    <t>SIUL_MSCR49</t>
  </si>
  <si>
    <t>ADC1_X[2]</t>
  </si>
  <si>
    <t>WKPU[14]</t>
  </si>
  <si>
    <t>SIUL_IMCR559</t>
  </si>
  <si>
    <t>SIUL_IMCR599</t>
  </si>
  <si>
    <t>SIUL_MSCR64</t>
  </si>
  <si>
    <t>SIUL_MSCR65</t>
  </si>
  <si>
    <t>SIUL_MSCR66</t>
  </si>
  <si>
    <t>Comparator Input Signal</t>
  </si>
  <si>
    <t>SIUL_IMCR735</t>
  </si>
  <si>
    <t>SIUL_MSCR67</t>
  </si>
  <si>
    <t>'00000000001010110110100000101111'</t>
  </si>
  <si>
    <t>SIUL_MSCR68</t>
  </si>
  <si>
    <t>JTAG_TCLK/SWD_CLK</t>
  </si>
  <si>
    <t>'00000000000010000010000000000000'</t>
  </si>
  <si>
    <t>LPI2C Clock I/O</t>
  </si>
  <si>
    <t>SIUL_IMCR696</t>
  </si>
  <si>
    <t>JTAG Test Clock Input</t>
  </si>
  <si>
    <t>SIUL_IMCR729</t>
  </si>
  <si>
    <t>SIUL_MSCR69</t>
  </si>
  <si>
    <t>'00000000000010000010100000000000'</t>
  </si>
  <si>
    <t>SIUL_IMCR576</t>
  </si>
  <si>
    <t>SIUL_IMCR697</t>
  </si>
  <si>
    <t>JTAG Test Data input</t>
  </si>
  <si>
    <t>SIUL_IMCR728</t>
  </si>
  <si>
    <t>SIUL_MSCR70</t>
  </si>
  <si>
    <t>WKPU[3]</t>
  </si>
  <si>
    <t>SIUL_IMCR514</t>
  </si>
  <si>
    <t>CAN2</t>
  </si>
  <si>
    <t>SIUL_IMCR675</t>
  </si>
  <si>
    <t>SIUL_IMCR700</t>
  </si>
  <si>
    <t>SIUL_MSCR71</t>
  </si>
  <si>
    <t>WKPU[2]</t>
  </si>
  <si>
    <t>ADC1_S16</t>
  </si>
  <si>
    <t>SIUL_IMCR674</t>
  </si>
  <si>
    <t>SIUL_IMCR876</t>
  </si>
  <si>
    <t>SIUL_MSCR72</t>
  </si>
  <si>
    <t>SIUL_IMCR601</t>
  </si>
  <si>
    <t>SIUL_IMCR676</t>
  </si>
  <si>
    <t>SIUL_IMCR724</t>
  </si>
  <si>
    <t>SIUL_IMCR741</t>
  </si>
  <si>
    <t>SIUL_MSCR73</t>
  </si>
  <si>
    <t>WKPU[10]</t>
  </si>
  <si>
    <t>SIUL_IMCR600</t>
  </si>
  <si>
    <t>SIUL_IMCR677</t>
  </si>
  <si>
    <t>SIUL_IMCR726</t>
  </si>
  <si>
    <t>SIUL_IMCR742</t>
  </si>
  <si>
    <t>SIUL_MSCR74</t>
  </si>
  <si>
    <t>SIUL_IMCR754</t>
  </si>
  <si>
    <t>SIUL_IMCR867</t>
  </si>
  <si>
    <t>SIUL_MSCR75</t>
  </si>
  <si>
    <t>WKPU[18]</t>
  </si>
  <si>
    <t>SIUL_IMCR679</t>
  </si>
  <si>
    <t>SIUL_IMCR866</t>
  </si>
  <si>
    <t>SIUL_MSCR76</t>
  </si>
  <si>
    <t>SIUL_IMCR582</t>
  </si>
  <si>
    <t>SIUL_MSCR77</t>
  </si>
  <si>
    <t>SIUL_IMCR583</t>
  </si>
  <si>
    <t>SIUL_MSCR78</t>
  </si>
  <si>
    <t>SIUL_IMCR865</t>
  </si>
  <si>
    <t>SIUL_MSCR79</t>
  </si>
  <si>
    <t>SIUL_IMCR757</t>
  </si>
  <si>
    <t>SIUL_IMCR864</t>
  </si>
  <si>
    <t>SIUL_MSCR80</t>
  </si>
  <si>
    <t>'00000000000000000100000000000000'</t>
  </si>
  <si>
    <t>SIUL_IMCR732</t>
  </si>
  <si>
    <t>SIUL_IMCR765</t>
  </si>
  <si>
    <t>SIUL_MSCR81</t>
  </si>
  <si>
    <t>0000_1010</t>
  </si>
  <si>
    <t>SIUL_IMCR730</t>
  </si>
  <si>
    <t>SIUL_IMCR764</t>
  </si>
  <si>
    <t>SIUL_MSCR96</t>
  </si>
  <si>
    <t>WKPU[6]</t>
  </si>
  <si>
    <t>ADC0_P1</t>
  </si>
  <si>
    <t>SIUL_IMCR863</t>
  </si>
  <si>
    <t>SIUL_MSCR97</t>
  </si>
  <si>
    <t>SIUL_IMCR862</t>
  </si>
  <si>
    <t>SIUL_MSCR98</t>
  </si>
  <si>
    <t>WKPU[9]</t>
  </si>
  <si>
    <t>ADC0_S16</t>
  </si>
  <si>
    <t>SIUL_IMCR613</t>
  </si>
  <si>
    <t>SIUL_IMCR861</t>
  </si>
  <si>
    <t>SIUL_MSCR99</t>
  </si>
  <si>
    <t>NMI_b</t>
  </si>
  <si>
    <t>Non Maskable Interrupt</t>
  </si>
  <si>
    <t>WKPU[1]</t>
  </si>
  <si>
    <t>ADC0_S10</t>
  </si>
  <si>
    <t>SIUL_IMCR614</t>
  </si>
  <si>
    <t>SIUL_IMCR860</t>
  </si>
  <si>
    <t>SIUL_MSCR100</t>
  </si>
  <si>
    <t>ADC0_S19</t>
  </si>
  <si>
    <t>WKPU[22]</t>
  </si>
  <si>
    <t>SIUL_IMCR615</t>
  </si>
  <si>
    <t>SIUL_MSCR101</t>
  </si>
  <si>
    <t>SIUL_IMCR579</t>
  </si>
  <si>
    <t>SIUL_MSCR102</t>
  </si>
  <si>
    <t>0000_1001</t>
  </si>
  <si>
    <t>SIUL_MSCR103</t>
  </si>
  <si>
    <t>SIUL_MSCR104</t>
  </si>
  <si>
    <t>SIUL_MSCR105</t>
  </si>
  <si>
    <t>SIUL_MSCR106</t>
  </si>
  <si>
    <t>SIUL_MSCR107</t>
  </si>
  <si>
    <t>SIUL_IMCR874</t>
  </si>
  <si>
    <t>SIUL_MSCR108</t>
  </si>
  <si>
    <t>SIUL_IMCR578</t>
  </si>
  <si>
    <t>SIUL_MSCR109</t>
  </si>
  <si>
    <t>SIUL_IMCR580</t>
  </si>
  <si>
    <t>SIUL_MSCR110</t>
  </si>
  <si>
    <t>SIUL_IMCR581</t>
  </si>
  <si>
    <t>SIUL_MSCR111</t>
  </si>
  <si>
    <t>SIUL_IMCR606</t>
  </si>
  <si>
    <t>SIUL_MSCR112</t>
  </si>
  <si>
    <t>SIUL_MSCR113</t>
  </si>
  <si>
    <t>SIUL_MSCR128</t>
  </si>
  <si>
    <t>WKPU[26]</t>
  </si>
  <si>
    <t>ADC1_P2</t>
  </si>
  <si>
    <t>SIUL_MSCR129</t>
  </si>
  <si>
    <t>SIUL_MSCR130</t>
  </si>
  <si>
    <t>WKPU[27]</t>
  </si>
  <si>
    <t>ADC1_P5</t>
  </si>
  <si>
    <t>SIUL_MSCR131</t>
  </si>
  <si>
    <t>SIUL_MSCR134</t>
  </si>
  <si>
    <t>ADC1_P6</t>
  </si>
  <si>
    <t>WKPU[29]</t>
  </si>
  <si>
    <t>SIUL_MSCR135</t>
  </si>
  <si>
    <t>SIUL_MSCR136</t>
  </si>
  <si>
    <t>SIUL_MSCR137</t>
  </si>
  <si>
    <t>SIUL_MSCR138</t>
  </si>
  <si>
    <t>SIUL_MSCR139</t>
  </si>
  <si>
    <t>WKPU[28]</t>
  </si>
  <si>
    <t>ADC0_P6</t>
  </si>
  <si>
    <t>SIUL_MSCR140</t>
  </si>
  <si>
    <t>SIUL_MSCR141</t>
  </si>
  <si>
    <t>ADC1_S19</t>
  </si>
  <si>
    <t>SIUL_IMCR755</t>
  </si>
  <si>
    <t>SIUL_MSCR143</t>
  </si>
  <si>
    <t>SIUL_MSCR144</t>
  </si>
  <si>
    <t>ADC0_P4</t>
  </si>
  <si>
    <t>WKPU[19]</t>
  </si>
  <si>
    <t>Destination Instance</t>
  </si>
  <si>
    <t>Destination Function</t>
  </si>
  <si>
    <t>CR Instance</t>
  </si>
  <si>
    <t>Input CR#</t>
  </si>
  <si>
    <t>Input SSS</t>
  </si>
  <si>
    <t>Source Instance</t>
  </si>
  <si>
    <t>Source Signal</t>
  </si>
  <si>
    <t>disable low</t>
  </si>
  <si>
    <t>IO_PAD</t>
  </si>
  <si>
    <t>TRGMUX_INT_OUT40</t>
  </si>
  <si>
    <t>TRGMUX_INT_OUT41</t>
  </si>
  <si>
    <t>TRGMUX_INT_OUT42</t>
  </si>
  <si>
    <t>TRGMUX_INT_OUT43</t>
  </si>
  <si>
    <t>TRGMUX_INT_OUT44</t>
  </si>
  <si>
    <t>TRGMUX_INT_OUT45</t>
  </si>
  <si>
    <t>TRGMUX_INT_OUT32</t>
  </si>
  <si>
    <t>TRGMUX_INT_OUT33</t>
  </si>
  <si>
    <t>TRGMUX_INT_OUT34</t>
  </si>
  <si>
    <t>TRGMUX_INT_OUT35</t>
  </si>
  <si>
    <t>TRGMUX_INT_OUT36</t>
  </si>
  <si>
    <t>TRGMUX_INT_OUT37</t>
  </si>
  <si>
    <t>TRGMUX_INT_OUT38</t>
  </si>
  <si>
    <t>TRGMUX_INT_OUT39</t>
  </si>
  <si>
    <t>TRGMUX_INT_OUT56</t>
  </si>
  <si>
    <t>TRGMUX_INT_OUT57</t>
  </si>
  <si>
    <t>TRGMUX_INT_OUT58</t>
  </si>
  <si>
    <t>TRGMUX_INT_OUT59</t>
  </si>
  <si>
    <t>TRGMUX_INT_OUT60</t>
  </si>
  <si>
    <t>TRGMUX_INT_OUT61</t>
  </si>
  <si>
    <t>TRGMUX_INT_OUT48</t>
  </si>
  <si>
    <t>TRGMUX_INT_OUT49</t>
  </si>
  <si>
    <t>TRGMUX_INT_OUT50</t>
  </si>
  <si>
    <t>TRGMUX_INT_OUT51</t>
  </si>
  <si>
    <t>TRGMUX_INT_OUT52</t>
  </si>
  <si>
    <t>TRGMUX_INT_OUT53</t>
  </si>
  <si>
    <t>TRGMUX_INT_OUT54</t>
  </si>
  <si>
    <t>TRGMUX_INT_OUT55</t>
  </si>
  <si>
    <t>0000_1011</t>
  </si>
  <si>
    <t>disable high</t>
  </si>
  <si>
    <t>TRGMUX_IN12</t>
  </si>
  <si>
    <t>SIUL_IMCR868</t>
  </si>
  <si>
    <t>TRGMUX_IN13</t>
  </si>
  <si>
    <t>SIUL_IMCR869</t>
  </si>
  <si>
    <t>TRGMUX_IN14</t>
  </si>
  <si>
    <t>SIUL_IMCR870</t>
  </si>
  <si>
    <t>TRGMUX_IN15</t>
  </si>
  <si>
    <t>SIUL_IMCR871</t>
  </si>
  <si>
    <t>Package Net</t>
  </si>
  <si>
    <t>ChipTopPort</t>
  </si>
  <si>
    <t>PMC Voltage Regulator Control Output</t>
  </si>
  <si>
    <t>ADC Reference Supply high</t>
  </si>
  <si>
    <t>ADC0_VREFH</t>
  </si>
  <si>
    <t>ADC Reference Supply low</t>
  </si>
  <si>
    <t>ADC0_VREFL</t>
  </si>
  <si>
    <t>Supply Ground</t>
  </si>
  <si>
    <t>Misc Pins</t>
  </si>
  <si>
    <t>OSC</t>
  </si>
  <si>
    <t>External Crystal Input</t>
  </si>
  <si>
    <t>Analog</t>
  </si>
  <si>
    <t>External Crystal Output</t>
  </si>
  <si>
    <t>ADC0_MA[2]
ADC0_S13</t>
  </si>
  <si>
    <t>ADC0_MA[1]
ADC0_S12</t>
  </si>
  <si>
    <t>FXIO_D7
FXIO_D8</t>
  </si>
  <si>
    <t>FXIO_D10
FXIO_D6</t>
  </si>
  <si>
    <t>FXIO_D12
FXIO_D8</t>
  </si>
  <si>
    <t>FXIO_D13
FXIO_D3</t>
  </si>
  <si>
    <t>FXIO_D0
FXIO_D10</t>
  </si>
  <si>
    <t>FXIO_D1
FXIO_D11</t>
  </si>
  <si>
    <t>FXIO_D14
FXIO_D2</t>
  </si>
  <si>
    <t>FXIO_D5
FXIO_D7</t>
  </si>
  <si>
    <t>FXIO_D4
FXIO_D6</t>
  </si>
  <si>
    <t>LPI2C1_SDA
LPI2C1_SDAS</t>
  </si>
  <si>
    <t>PG</t>
  </si>
  <si>
    <t>VRC_CTRL</t>
  </si>
  <si>
    <t>RTC</t>
  </si>
  <si>
    <t>SWD</t>
  </si>
  <si>
    <t>LPSPI0_PCS0
LPSPI0_PCS1</t>
  </si>
  <si>
    <t>LPSPI2_PCS0
LPSPI2_PCS2</t>
  </si>
  <si>
    <t>TRGMUX_IN6
TRGMUX_OUT2</t>
  </si>
  <si>
    <t>TRGMUX_IN7
TRGMUX_OUT1</t>
  </si>
  <si>
    <t>TRGMUX_IN8
TRGMUX_OUT5</t>
  </si>
  <si>
    <t>TRACEnoETM</t>
  </si>
  <si>
    <t>TRACEnoETM_SWO</t>
  </si>
  <si>
    <t>eMIOS_0_CH[17]_Y
eMIOS_0_CH[3]_G</t>
  </si>
  <si>
    <t>eMIOS_0_CH[16]_X
eMIOS_0_CH[2]_G</t>
  </si>
  <si>
    <t>eMIOS_0_CH[1]_G
eMIOS_0_CH[21]_Y</t>
  </si>
  <si>
    <t>eMIOS_0_CH[19]_Y
eMIOS_0_CH[2]_G</t>
  </si>
  <si>
    <t>eMIOS_0_CH[15]_H
eMIOS_0_CH[1]_G</t>
  </si>
  <si>
    <t>eMIOS_0_CH[0]_X
eMIOS_0_CH[14]_H</t>
  </si>
  <si>
    <t>FCCU_ERR1
FCCU_ERR_IN1</t>
  </si>
  <si>
    <t>FCCU_ERR0
FCCU_ERR_IN0</t>
  </si>
  <si>
    <t>CTU_0</t>
  </si>
  <si>
    <t>OSC32K</t>
  </si>
  <si>
    <t>EIRQ[15]
GPIO[144]</t>
  </si>
  <si>
    <t>EIRQ[14]
GPIO[143]</t>
  </si>
  <si>
    <t>EIRQ[9]
GPIO[97]</t>
  </si>
  <si>
    <t>EIRQ[8]
GPIO[96]</t>
  </si>
  <si>
    <t>EIRQ[10]
GPIO[139]</t>
  </si>
  <si>
    <t>EIRQ[9]
GPIO[138]</t>
  </si>
  <si>
    <t>EIRQ[12]
GPIO[141]</t>
  </si>
  <si>
    <t>EIRQ[3]
GPIO[131]</t>
  </si>
  <si>
    <t>EIRQ[11]
GPIO[140]</t>
  </si>
  <si>
    <t>EIRQ[24]
GPIO[113]</t>
  </si>
  <si>
    <t>EIRQ[31]
GPIO[111]</t>
  </si>
  <si>
    <t>EIRQ[8]
GPIO[137]</t>
  </si>
  <si>
    <t>EIRQ[30]
GPIO[110]</t>
  </si>
  <si>
    <t>EIRQ[29]
GPIO[109]</t>
  </si>
  <si>
    <t>EIRQ[7]
GPIO[136]</t>
  </si>
  <si>
    <t>EIRQ[13]
GPIO[37]</t>
  </si>
  <si>
    <t>EIRQ[12]
GPIO[36]</t>
  </si>
  <si>
    <t>EIRQ[3]
GPIO[67]</t>
  </si>
  <si>
    <t>EIRQ[2]
GPIO[66]</t>
  </si>
  <si>
    <t>EIRQ[15]
GPIO[103]</t>
  </si>
  <si>
    <t>EIRQ[14]
GPIO[102]</t>
  </si>
  <si>
    <t>EIRQ[13]
GPIO[101]</t>
  </si>
  <si>
    <t>EIRQ[28]
GPIO[108]</t>
  </si>
  <si>
    <t>EIRQ[27]
GPIO[107]</t>
  </si>
  <si>
    <t>EIRQ[26]
GPIO[106]</t>
  </si>
  <si>
    <t>EIRQ[1]
GPIO[65]</t>
  </si>
  <si>
    <t>EIRQ[0]
GPIO[64]</t>
  </si>
  <si>
    <t>EIRQ[25]
GPIO[105]</t>
  </si>
  <si>
    <t>EIRQ[24]
GPIO[104]</t>
  </si>
  <si>
    <t>EIRQ[23]
GPIO[79]</t>
  </si>
  <si>
    <t>EIRQ[22]
GPIO[78]</t>
  </si>
  <si>
    <t>EIRQ[11]
GPIO[35]</t>
  </si>
  <si>
    <t>EIRQ[10]
GPIO[34]</t>
  </si>
  <si>
    <t>EIRQ[21]
GPIO[77]</t>
  </si>
  <si>
    <t>EIRQ[20]
GPIO[76]</t>
  </si>
  <si>
    <t>EIRQ[19]
GPIO[75]</t>
  </si>
  <si>
    <t>EIRQ[18]
GPIO[74]</t>
  </si>
  <si>
    <t>EIRQ[9]
GPIO[33]</t>
  </si>
  <si>
    <t>EIRQ[8]
GPIO[32]</t>
  </si>
  <si>
    <t>EIRQ[17]
GPIO[73]</t>
  </si>
  <si>
    <t>EIRQ[16]
GPIO[72]</t>
  </si>
  <si>
    <t>EIRQ[7]
GPIO[7]</t>
  </si>
  <si>
    <t>EIRQ[6]
GPIO[6]</t>
  </si>
  <si>
    <t>EIRQ[31]
GPIO[49]</t>
  </si>
  <si>
    <t>EIRQ[30]
GPIO[48]</t>
  </si>
  <si>
    <t>EIRQ[29]
GPIO[47]</t>
  </si>
  <si>
    <t>EIRQ[28]
GPIO[46]</t>
  </si>
  <si>
    <t>EIRQ[27]
GPIO[45]</t>
  </si>
  <si>
    <t>EIRQ[26]
GPIO[44]</t>
  </si>
  <si>
    <t>EIRQ[12]
GPIO[100]</t>
  </si>
  <si>
    <t>EIRQ[11]
GPIO[99]</t>
  </si>
  <si>
    <t>EIRQ[10]
GPIO[98]</t>
  </si>
  <si>
    <t>EIRQ[3]
GPIO[3]</t>
  </si>
  <si>
    <t>EIRQ[2]
GPIO[2]</t>
  </si>
  <si>
    <t>EIRQ[25]
GPIO[43]</t>
  </si>
  <si>
    <t>EIRQ[24]
GPIO[42]</t>
  </si>
  <si>
    <t>EIRQ[15]
GPIO[41]</t>
  </si>
  <si>
    <t>EIRQ[14]
GPIO[40]</t>
  </si>
  <si>
    <t>EIRQ[1]
GPIO[1]</t>
  </si>
  <si>
    <t>EIRQ[0]
GPIO[0]</t>
  </si>
  <si>
    <t>EIRQ[7]
GPIO[71]</t>
  </si>
  <si>
    <t>EIRQ[6]
GPIO[70]</t>
  </si>
  <si>
    <t>EIRQ[4]
GPIO[16]</t>
  </si>
  <si>
    <t>EIRQ[23]
GPIO[15]</t>
  </si>
  <si>
    <t>EIRQ[6]
GPIO[134]</t>
  </si>
  <si>
    <t>EIRQ[2]
GPIO[130]</t>
  </si>
  <si>
    <t>EIRQ[22]
GPIO[14]</t>
  </si>
  <si>
    <t>EIRQ[21]
GPIO[13]</t>
  </si>
  <si>
    <t>EIRQ[20]
GPIO[12]</t>
  </si>
  <si>
    <t>EIRQ[19]
GPIO[11]</t>
  </si>
  <si>
    <t>EIRQ[18]
GPIO[10]</t>
  </si>
  <si>
    <t>EIRQ[1]
GPIO[129]</t>
  </si>
  <si>
    <t>EIRQ[0]
GPIO[128]</t>
  </si>
  <si>
    <t>EIRQ[5]
GPIO[69]</t>
  </si>
  <si>
    <t>EIRQ[4]
GPIO[68]</t>
  </si>
  <si>
    <t>EIRQ[5]
GPIO[5]</t>
  </si>
  <si>
    <t>EIRQ[4]
GPIO[4]</t>
  </si>
  <si>
    <t>EIRQ[17]
GPIO[9]</t>
  </si>
  <si>
    <t>EIRQ[16]
GPIO[8]</t>
  </si>
  <si>
    <t>CANPHY</t>
  </si>
  <si>
    <t>CANPHY_RxD</t>
  </si>
  <si>
    <t>CANPHY_TxD</t>
  </si>
  <si>
    <t>CANH0</t>
  </si>
  <si>
    <t>CANL0</t>
  </si>
  <si>
    <t>VDDC0</t>
  </si>
  <si>
    <t>VSSC</t>
  </si>
  <si>
    <t>cJTAG</t>
  </si>
  <si>
    <t>cJTAG_TSMC</t>
  </si>
  <si>
    <t>cJTAG_TCKC</t>
  </si>
  <si>
    <t>DPGA</t>
  </si>
  <si>
    <t>AMPOUT</t>
  </si>
  <si>
    <t>AMPP0
ATX Force</t>
  </si>
  <si>
    <t>AMPM0
ATX Sense</t>
  </si>
  <si>
    <t>GDU</t>
  </si>
  <si>
    <t>PWM0
PWM2
PWM4</t>
  </si>
  <si>
    <t>HG0</t>
  </si>
  <si>
    <t>HG1</t>
  </si>
  <si>
    <t>HG2</t>
  </si>
  <si>
    <t>HS0</t>
  </si>
  <si>
    <t>HS1</t>
  </si>
  <si>
    <t>HS2</t>
  </si>
  <si>
    <t>LG0</t>
  </si>
  <si>
    <t>LG1</t>
  </si>
  <si>
    <t>LG2</t>
  </si>
  <si>
    <t>LS0</t>
  </si>
  <si>
    <t>LS1</t>
  </si>
  <si>
    <t>LS2</t>
  </si>
  <si>
    <t>VBS0</t>
  </si>
  <si>
    <t>VBS1</t>
  </si>
  <si>
    <t>VBS2</t>
  </si>
  <si>
    <t>HVI</t>
  </si>
  <si>
    <t>LINPHY</t>
  </si>
  <si>
    <t>CXPI_CLK
LINPHY_RxD</t>
  </si>
  <si>
    <t>LINPHY_TxD</t>
  </si>
  <si>
    <t>LIN</t>
  </si>
  <si>
    <t>VSSL</t>
  </si>
  <si>
    <t>CP</t>
  </si>
  <si>
    <t>CP1</t>
  </si>
  <si>
    <t>VCP</t>
  </si>
  <si>
    <t>PMC</t>
  </si>
  <si>
    <t>VDDE</t>
  </si>
  <si>
    <t>BST</t>
  </si>
  <si>
    <t>HD</t>
  </si>
  <si>
    <t>GCTL</t>
  </si>
  <si>
    <t>VLS_OUT</t>
  </si>
  <si>
    <t>VPRE</t>
  </si>
  <si>
    <t>VSUP</t>
  </si>
  <si>
    <t>VDD_AE10</t>
  </si>
  <si>
    <t>RESET</t>
  </si>
  <si>
    <t>OSC_S32M</t>
  </si>
  <si>
    <t>OSC_OUT</t>
  </si>
  <si>
    <t>HIGH</t>
  </si>
  <si>
    <t>LOW</t>
  </si>
  <si>
    <t>CMP0_RR_ACTIVE</t>
  </si>
  <si>
    <t>MCXE315_MCXE316</t>
  </si>
  <si>
    <t>MCXE315_MCXE316_IOMUX</t>
  </si>
  <si>
    <t>MCXE315_MCXE316_100hdqfp</t>
  </si>
  <si>
    <t>MCXE315_MCXE316_48lqfp</t>
  </si>
  <si>
    <t xml:space="preserve"> pinout MCXE315_MCXE316_48lqfp (package 48lqfp)</t>
    <phoneticPr fontId="28" type="noConversion"/>
  </si>
  <si>
    <t xml:space="preserve"> pinout MCXE315_MCXE316_100hdqfp (package 100hdqfp)</t>
    <phoneticPr fontId="28" type="noConversion"/>
  </si>
  <si>
    <t>Initial version</t>
    <phoneticPr fontId="28" type="noConversion"/>
  </si>
  <si>
    <t>RESET_S32M2xx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</si>
</sst>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6"/>
      <color rgb="FF000000"/>
      <name val="Calibri"/>
      <family val="2"/>
    </font>
    <font>
      <sz val="8"/>
      <color rgb="FF000000"/>
      <name val="Calibri"/>
      <family val="2"/>
    </font>
    <font>
      <b/>
      <sz val="20"/>
      <color indexed="8"/>
      <name val="Helvetica"/>
    </font>
    <font>
      <sz val="14"/>
      <color indexed="8"/>
      <name val="Helvetica"/>
      <family val="2"/>
    </font>
    <font>
      <b/>
      <sz val="12"/>
      <color indexed="8"/>
      <name val="Helvetica"/>
      <family val="2"/>
    </font>
    <font>
      <b/>
      <sz val="28"/>
      <color rgb="FF000000"/>
      <name val="Helvetica"/>
    </font>
    <font>
      <b/>
      <sz val="18"/>
      <color rgb="FFFF0000"/>
      <name val="Calibr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0A23"/>
        <bgColor rgb="FF000000"/>
      </patternFill>
    </fill>
    <fill>
      <patternFill patternType="solid">
        <fgColor rgb="FF47C8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B319"/>
        <bgColor rgb="FF00000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 diagonalUp="1">
      <left/>
      <right/>
      <top/>
      <bottom/>
      <diagonal style="thick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9">
    <xf numFmtId="0" fontId="0" fillId="0" borderId="0"/>
    <xf numFmtId="0" fontId="10" fillId="2" borderId="0"/>
    <xf numFmtId="0" fontId="9" fillId="2" borderId="0"/>
    <xf numFmtId="0" fontId="7" fillId="2" borderId="0"/>
    <xf numFmtId="0" fontId="10" fillId="2" borderId="0"/>
    <xf numFmtId="0" fontId="7" fillId="2" borderId="0"/>
    <xf numFmtId="0" fontId="11" fillId="2" borderId="0"/>
    <xf numFmtId="0" fontId="10" fillId="2" borderId="0"/>
    <xf numFmtId="0" fontId="12" fillId="2" borderId="0" applyProtection="0"/>
    <xf numFmtId="0" fontId="14" fillId="2" borderId="0" applyNumberFormat="0" applyFill="0" applyBorder="0" applyAlignment="0" applyProtection="0"/>
    <xf numFmtId="0" fontId="13" fillId="2" borderId="0" applyNumberFormat="0" applyFill="0" applyBorder="0" applyAlignment="0" applyProtection="0"/>
    <xf numFmtId="0" fontId="6" fillId="2" borderId="0"/>
    <xf numFmtId="0" fontId="16" fillId="2" borderId="0"/>
    <xf numFmtId="0" fontId="9" fillId="2" borderId="0"/>
    <xf numFmtId="0" fontId="17" fillId="2" borderId="0"/>
    <xf numFmtId="0" fontId="9" fillId="2" borderId="0"/>
    <xf numFmtId="0" fontId="9" fillId="2" borderId="0"/>
    <xf numFmtId="0" fontId="17" fillId="2" borderId="0"/>
    <xf numFmtId="0" fontId="5" fillId="2" borderId="0"/>
    <xf numFmtId="0" fontId="9" fillId="2" borderId="0"/>
    <xf numFmtId="0" fontId="4" fillId="2" borderId="0"/>
    <xf numFmtId="0" fontId="3" fillId="2" borderId="0"/>
    <xf numFmtId="0" fontId="2" fillId="2" borderId="0"/>
    <xf numFmtId="0" fontId="18" fillId="2" borderId="0"/>
    <xf numFmtId="0" fontId="19" fillId="2" borderId="0"/>
    <xf numFmtId="0" fontId="9" fillId="2" borderId="0"/>
    <xf numFmtId="0" fontId="1" fillId="2" borderId="0"/>
    <xf numFmtId="0" fontId="9" fillId="2" borderId="0"/>
    <xf numFmtId="0" fontId="9" fillId="2" borderId="0"/>
  </cellStyleXfs>
  <cellXfs count="135">
    <xf numFmtId="0" fontId="0" fillId="0" borderId="0" xfId="0"/>
    <xf numFmtId="0" fontId="9" fillId="3" borderId="1" xfId="2" applyFill="1" applyBorder="1" applyAlignment="1">
      <alignment horizontal="center"/>
    </xf>
    <xf numFmtId="0" fontId="8" fillId="2" borderId="45" xfId="13" applyFont="1" applyBorder="1"/>
    <xf numFmtId="0" fontId="9" fillId="2" borderId="45" xfId="13" applyBorder="1"/>
    <xf numFmtId="0" fontId="9" fillId="2" borderId="0" xfId="13"/>
    <xf numFmtId="0" fontId="8" fillId="2" borderId="1" xfId="13" applyFont="1" applyBorder="1" applyAlignment="1">
      <alignment horizontal="center"/>
    </xf>
    <xf numFmtId="0" fontId="9" fillId="2" borderId="0" xfId="2" applyAlignment="1">
      <alignment horizontal="center"/>
    </xf>
    <xf numFmtId="0" fontId="9" fillId="2" borderId="48" xfId="13" applyBorder="1"/>
    <xf numFmtId="0" fontId="9" fillId="2" borderId="0" xfId="13" applyAlignment="1">
      <alignment horizontal="center"/>
    </xf>
    <xf numFmtId="0" fontId="9" fillId="3" borderId="0" xfId="13" applyFill="1" applyAlignment="1">
      <alignment horizontal="center"/>
    </xf>
    <xf numFmtId="0" fontId="8" fillId="3" borderId="5" xfId="19" applyFont="1" applyFill="1" applyBorder="1" applyAlignment="1">
      <alignment horizontal="center" wrapText="1"/>
    </xf>
    <xf numFmtId="0" fontId="9" fillId="2" borderId="1" xfId="2" applyBorder="1" applyAlignment="1">
      <alignment horizontal="center"/>
    </xf>
    <xf numFmtId="0" fontId="9" fillId="2" borderId="0" xfId="2"/>
    <xf numFmtId="0" fontId="9" fillId="2" borderId="16" xfId="2" applyBorder="1" applyAlignment="1">
      <alignment horizontal="center"/>
    </xf>
    <xf numFmtId="0" fontId="9" fillId="2" borderId="6" xfId="2" applyBorder="1" applyAlignment="1">
      <alignment horizontal="center"/>
    </xf>
    <xf numFmtId="0" fontId="9" fillId="2" borderId="10" xfId="2" applyBorder="1" applyAlignment="1">
      <alignment horizontal="center"/>
    </xf>
    <xf numFmtId="0" fontId="9" fillId="2" borderId="22" xfId="2" applyBorder="1" applyAlignment="1">
      <alignment horizontal="center"/>
    </xf>
    <xf numFmtId="0" fontId="9" fillId="2" borderId="17" xfId="2" applyBorder="1" applyAlignment="1">
      <alignment horizontal="center"/>
    </xf>
    <xf numFmtId="0" fontId="9" fillId="2" borderId="7" xfId="2" applyBorder="1" applyAlignment="1">
      <alignment horizontal="center"/>
    </xf>
    <xf numFmtId="0" fontId="9" fillId="2" borderId="23" xfId="2" applyBorder="1" applyAlignment="1">
      <alignment horizontal="center"/>
    </xf>
    <xf numFmtId="0" fontId="9" fillId="2" borderId="8" xfId="2" applyBorder="1" applyAlignment="1">
      <alignment horizontal="center"/>
    </xf>
    <xf numFmtId="0" fontId="9" fillId="2" borderId="18" xfId="2" applyBorder="1" applyAlignment="1">
      <alignment horizontal="center"/>
    </xf>
    <xf numFmtId="0" fontId="9" fillId="2" borderId="9" xfId="2" applyBorder="1" applyAlignment="1">
      <alignment horizontal="center"/>
    </xf>
    <xf numFmtId="0" fontId="9" fillId="2" borderId="11" xfId="2" applyBorder="1" applyAlignment="1">
      <alignment horizontal="center"/>
    </xf>
    <xf numFmtId="0" fontId="9" fillId="3" borderId="47" xfId="2" applyFill="1" applyBorder="1" applyAlignment="1">
      <alignment horizontal="center"/>
    </xf>
    <xf numFmtId="0" fontId="19" fillId="2" borderId="1" xfId="24" applyBorder="1" applyAlignment="1">
      <alignment horizontal="center"/>
    </xf>
    <xf numFmtId="0" fontId="19" fillId="2" borderId="0" xfId="24"/>
    <xf numFmtId="0" fontId="19" fillId="3" borderId="1" xfId="24" applyFill="1" applyBorder="1" applyAlignment="1">
      <alignment horizontal="center"/>
    </xf>
    <xf numFmtId="0" fontId="19" fillId="2" borderId="0" xfId="24" applyAlignment="1">
      <alignment horizontal="center"/>
    </xf>
    <xf numFmtId="0" fontId="19" fillId="2" borderId="1" xfId="24" applyBorder="1"/>
    <xf numFmtId="0" fontId="19" fillId="2" borderId="16" xfId="24" applyBorder="1" applyAlignment="1">
      <alignment horizontal="center"/>
    </xf>
    <xf numFmtId="0" fontId="19" fillId="2" borderId="6" xfId="24" applyBorder="1" applyAlignment="1">
      <alignment horizontal="center"/>
    </xf>
    <xf numFmtId="0" fontId="19" fillId="2" borderId="10" xfId="24" applyBorder="1" applyAlignment="1">
      <alignment horizontal="center"/>
    </xf>
    <xf numFmtId="0" fontId="19" fillId="2" borderId="22" xfId="24" applyBorder="1" applyAlignment="1">
      <alignment horizontal="center"/>
    </xf>
    <xf numFmtId="0" fontId="19" fillId="2" borderId="17" xfId="24" applyBorder="1" applyAlignment="1">
      <alignment horizontal="center"/>
    </xf>
    <xf numFmtId="0" fontId="19" fillId="2" borderId="7" xfId="24" applyBorder="1" applyAlignment="1">
      <alignment horizontal="center"/>
    </xf>
    <xf numFmtId="0" fontId="19" fillId="2" borderId="23" xfId="24" applyBorder="1" applyAlignment="1">
      <alignment horizontal="center"/>
    </xf>
    <xf numFmtId="0" fontId="19" fillId="2" borderId="8" xfId="24" applyBorder="1" applyAlignment="1">
      <alignment horizontal="center"/>
    </xf>
    <xf numFmtId="0" fontId="19" fillId="2" borderId="18" xfId="24" applyBorder="1" applyAlignment="1">
      <alignment horizontal="center"/>
    </xf>
    <xf numFmtId="0" fontId="19" fillId="2" borderId="9" xfId="24" applyBorder="1" applyAlignment="1">
      <alignment horizontal="center"/>
    </xf>
    <xf numFmtId="0" fontId="19" fillId="2" borderId="11" xfId="24" applyBorder="1" applyAlignment="1">
      <alignment horizontal="center"/>
    </xf>
    <xf numFmtId="0" fontId="19" fillId="2" borderId="24" xfId="24" applyBorder="1" applyAlignment="1">
      <alignment horizontal="center"/>
    </xf>
    <xf numFmtId="0" fontId="19" fillId="2" borderId="12" xfId="24" applyBorder="1" applyAlignment="1">
      <alignment horizontal="center"/>
    </xf>
    <xf numFmtId="0" fontId="19" fillId="2" borderId="19" xfId="24" applyBorder="1" applyAlignment="1">
      <alignment horizontal="center"/>
    </xf>
    <xf numFmtId="0" fontId="19" fillId="2" borderId="20" xfId="24" applyBorder="1" applyAlignment="1">
      <alignment horizontal="center"/>
    </xf>
    <xf numFmtId="0" fontId="19" fillId="2" borderId="21" xfId="24" applyBorder="1" applyAlignment="1">
      <alignment horizontal="center"/>
    </xf>
    <xf numFmtId="0" fontId="19" fillId="2" borderId="25" xfId="24" applyBorder="1" applyAlignment="1">
      <alignment horizontal="center"/>
    </xf>
    <xf numFmtId="0" fontId="19" fillId="2" borderId="26" xfId="24" applyBorder="1" applyAlignment="1">
      <alignment horizontal="center"/>
    </xf>
    <xf numFmtId="0" fontId="19" fillId="2" borderId="51" xfId="24" applyBorder="1" applyAlignment="1">
      <alignment horizontal="center"/>
    </xf>
    <xf numFmtId="0" fontId="19" fillId="2" borderId="31" xfId="24" applyBorder="1" applyAlignment="1">
      <alignment horizontal="center"/>
    </xf>
    <xf numFmtId="0" fontId="19" fillId="2" borderId="27" xfId="24" applyBorder="1" applyAlignment="1">
      <alignment horizontal="center"/>
    </xf>
    <xf numFmtId="0" fontId="19" fillId="2" borderId="52" xfId="24" applyBorder="1" applyAlignment="1">
      <alignment horizontal="center"/>
    </xf>
    <xf numFmtId="0" fontId="19" fillId="2" borderId="29" xfId="24" applyBorder="1" applyAlignment="1">
      <alignment horizontal="center"/>
    </xf>
    <xf numFmtId="0" fontId="19" fillId="2" borderId="32" xfId="24" applyBorder="1" applyAlignment="1">
      <alignment horizontal="center"/>
    </xf>
    <xf numFmtId="0" fontId="19" fillId="2" borderId="34" xfId="24" applyBorder="1" applyAlignment="1">
      <alignment horizontal="center"/>
    </xf>
    <xf numFmtId="0" fontId="19" fillId="2" borderId="33" xfId="24" applyBorder="1" applyAlignment="1">
      <alignment horizontal="center"/>
    </xf>
    <xf numFmtId="0" fontId="19" fillId="2" borderId="35" xfId="24" applyBorder="1" applyAlignment="1">
      <alignment horizontal="center"/>
    </xf>
    <xf numFmtId="0" fontId="20" fillId="2" borderId="17" xfId="24" applyFont="1" applyBorder="1" applyAlignment="1">
      <alignment horizontal="center"/>
    </xf>
    <xf numFmtId="0" fontId="20" fillId="2" borderId="18" xfId="24" applyFont="1" applyBorder="1" applyAlignment="1">
      <alignment horizontal="center"/>
    </xf>
    <xf numFmtId="0" fontId="19" fillId="2" borderId="38" xfId="24" applyBorder="1" applyAlignment="1">
      <alignment horizontal="center"/>
    </xf>
    <xf numFmtId="0" fontId="19" fillId="2" borderId="39" xfId="24" applyBorder="1" applyAlignment="1">
      <alignment horizontal="center"/>
    </xf>
    <xf numFmtId="0" fontId="21" fillId="4" borderId="0" xfId="24" applyFont="1" applyFill="1" applyAlignment="1">
      <alignment horizontal="left" vertical="center"/>
    </xf>
    <xf numFmtId="0" fontId="19" fillId="4" borderId="0" xfId="24" applyFill="1" applyAlignment="1">
      <alignment horizontal="left" vertical="center"/>
    </xf>
    <xf numFmtId="0" fontId="22" fillId="4" borderId="0" xfId="24" applyFont="1" applyFill="1" applyAlignment="1">
      <alignment horizontal="right" vertical="center"/>
    </xf>
    <xf numFmtId="0" fontId="22" fillId="5" borderId="0" xfId="24" applyFont="1" applyFill="1" applyAlignment="1">
      <alignment horizontal="center" textRotation="90"/>
    </xf>
    <xf numFmtId="0" fontId="22" fillId="6" borderId="0" xfId="24" applyFont="1" applyFill="1" applyAlignment="1">
      <alignment horizontal="center" textRotation="90"/>
    </xf>
    <xf numFmtId="0" fontId="22" fillId="7" borderId="0" xfId="24" applyFont="1" applyFill="1" applyAlignment="1">
      <alignment horizontal="center" textRotation="90"/>
    </xf>
    <xf numFmtId="0" fontId="22" fillId="4" borderId="0" xfId="24" applyFont="1" applyFill="1" applyAlignment="1">
      <alignment horizontal="left" vertical="center"/>
    </xf>
    <xf numFmtId="0" fontId="22" fillId="4" borderId="44" xfId="24" applyFont="1" applyFill="1" applyBorder="1" applyAlignment="1">
      <alignment horizontal="right" vertical="center"/>
    </xf>
    <xf numFmtId="0" fontId="22" fillId="4" borderId="42" xfId="24" applyFont="1" applyFill="1" applyBorder="1" applyAlignment="1">
      <alignment horizontal="center" textRotation="90"/>
    </xf>
    <xf numFmtId="0" fontId="22" fillId="4" borderId="43" xfId="24" applyFont="1" applyFill="1" applyBorder="1" applyAlignment="1">
      <alignment horizontal="left" vertical="center"/>
    </xf>
    <xf numFmtId="0" fontId="22" fillId="5" borderId="0" xfId="24" applyFont="1" applyFill="1" applyAlignment="1">
      <alignment horizontal="right" vertical="center"/>
    </xf>
    <xf numFmtId="0" fontId="22" fillId="4" borderId="40" xfId="24" applyFont="1" applyFill="1" applyBorder="1" applyAlignment="1">
      <alignment horizontal="right" vertical="center"/>
    </xf>
    <xf numFmtId="0" fontId="22" fillId="4" borderId="23" xfId="24" applyFont="1" applyFill="1" applyBorder="1" applyAlignment="1">
      <alignment horizontal="left" vertical="center"/>
    </xf>
    <xf numFmtId="0" fontId="22" fillId="5" borderId="0" xfId="24" applyFont="1" applyFill="1" applyAlignment="1">
      <alignment horizontal="left" vertical="center"/>
    </xf>
    <xf numFmtId="0" fontId="22" fillId="6" borderId="0" xfId="24" applyFont="1" applyFill="1" applyAlignment="1">
      <alignment horizontal="left" vertical="center"/>
    </xf>
    <xf numFmtId="0" fontId="22" fillId="7" borderId="0" xfId="24" applyFont="1" applyFill="1" applyAlignment="1">
      <alignment horizontal="left" vertical="center"/>
    </xf>
    <xf numFmtId="0" fontId="22" fillId="6" borderId="0" xfId="24" applyFont="1" applyFill="1" applyAlignment="1">
      <alignment horizontal="right" vertical="center"/>
    </xf>
    <xf numFmtId="0" fontId="22" fillId="7" borderId="0" xfId="24" applyFont="1" applyFill="1" applyAlignment="1">
      <alignment horizontal="right" vertical="center"/>
    </xf>
    <xf numFmtId="0" fontId="22" fillId="4" borderId="41" xfId="24" applyFont="1" applyFill="1" applyBorder="1" applyAlignment="1">
      <alignment horizontal="right" vertical="center"/>
    </xf>
    <xf numFmtId="0" fontId="22" fillId="4" borderId="29" xfId="24" applyFont="1" applyFill="1" applyBorder="1" applyAlignment="1">
      <alignment horizontal="center" vertical="top" textRotation="90"/>
    </xf>
    <xf numFmtId="0" fontId="22" fillId="4" borderId="25" xfId="24" applyFont="1" applyFill="1" applyBorder="1" applyAlignment="1">
      <alignment horizontal="left" vertical="center"/>
    </xf>
    <xf numFmtId="0" fontId="22" fillId="5" borderId="0" xfId="24" applyFont="1" applyFill="1" applyAlignment="1">
      <alignment horizontal="center" vertical="top" textRotation="90"/>
    </xf>
    <xf numFmtId="0" fontId="22" fillId="9" borderId="0" xfId="24" applyFont="1" applyFill="1" applyAlignment="1">
      <alignment horizontal="center" vertical="top" textRotation="90"/>
    </xf>
    <xf numFmtId="0" fontId="22" fillId="6" borderId="0" xfId="24" applyFont="1" applyFill="1" applyAlignment="1">
      <alignment horizontal="center" vertical="top" textRotation="90"/>
    </xf>
    <xf numFmtId="0" fontId="22" fillId="7" borderId="0" xfId="24" applyFont="1" applyFill="1" applyAlignment="1">
      <alignment horizontal="center" vertical="top" textRotation="90"/>
    </xf>
    <xf numFmtId="0" fontId="19" fillId="8" borderId="1" xfId="24" applyFill="1" applyBorder="1" applyAlignment="1">
      <alignment horizontal="center"/>
    </xf>
    <xf numFmtId="0" fontId="19" fillId="3" borderId="47" xfId="24" applyFill="1" applyBorder="1" applyAlignment="1">
      <alignment horizontal="center"/>
    </xf>
    <xf numFmtId="0" fontId="19" fillId="2" borderId="47" xfId="24" applyBorder="1" applyAlignment="1">
      <alignment horizontal="center"/>
    </xf>
    <xf numFmtId="0" fontId="9" fillId="2" borderId="0" xfId="25"/>
    <xf numFmtId="0" fontId="19" fillId="2" borderId="47" xfId="24" applyBorder="1"/>
    <xf numFmtId="0" fontId="9" fillId="3" borderId="0" xfId="2" applyFill="1" applyAlignment="1">
      <alignment horizontal="center"/>
    </xf>
    <xf numFmtId="0" fontId="9" fillId="2" borderId="0" xfId="25" applyAlignment="1">
      <alignment horizontal="center"/>
    </xf>
    <xf numFmtId="0" fontId="9" fillId="2" borderId="17" xfId="25" applyBorder="1" applyAlignment="1">
      <alignment horizontal="center"/>
    </xf>
    <xf numFmtId="0" fontId="9" fillId="2" borderId="7" xfId="25" applyBorder="1" applyAlignment="1">
      <alignment horizontal="center"/>
    </xf>
    <xf numFmtId="0" fontId="9" fillId="2" borderId="1" xfId="25" applyBorder="1" applyAlignment="1">
      <alignment horizontal="center"/>
    </xf>
    <xf numFmtId="0" fontId="9" fillId="2" borderId="31" xfId="25" applyBorder="1" applyAlignment="1">
      <alignment horizontal="center"/>
    </xf>
    <xf numFmtId="0" fontId="20" fillId="2" borderId="19" xfId="24" applyFont="1" applyBorder="1" applyAlignment="1">
      <alignment horizontal="center"/>
    </xf>
    <xf numFmtId="0" fontId="23" fillId="2" borderId="0" xfId="6" applyFont="1"/>
    <xf numFmtId="0" fontId="24" fillId="2" borderId="0" xfId="6" applyFont="1"/>
    <xf numFmtId="0" fontId="25" fillId="2" borderId="48" xfId="6" applyFont="1" applyBorder="1" applyAlignment="1">
      <alignment horizontal="center"/>
    </xf>
    <xf numFmtId="0" fontId="26" fillId="2" borderId="0" xfId="13" applyFont="1"/>
    <xf numFmtId="0" fontId="27" fillId="2" borderId="0" xfId="13" applyFont="1"/>
    <xf numFmtId="0" fontId="8" fillId="2" borderId="45" xfId="28" applyFont="1" applyBorder="1" applyAlignment="1">
      <alignment horizontal="center" wrapText="1"/>
    </xf>
    <xf numFmtId="0" fontId="9" fillId="2" borderId="50" xfId="13" applyBorder="1" applyAlignment="1">
      <alignment horizontal="center"/>
    </xf>
    <xf numFmtId="0" fontId="9" fillId="3" borderId="50" xfId="13" applyFill="1" applyBorder="1" applyAlignment="1">
      <alignment horizontal="center"/>
    </xf>
    <xf numFmtId="0" fontId="9" fillId="2" borderId="50" xfId="2" applyBorder="1"/>
    <xf numFmtId="0" fontId="9" fillId="3" borderId="53" xfId="13" applyFill="1" applyBorder="1" applyAlignment="1">
      <alignment horizontal="center"/>
    </xf>
    <xf numFmtId="0" fontId="9" fillId="3" borderId="46" xfId="13" applyFill="1" applyBorder="1" applyAlignment="1">
      <alignment horizontal="center"/>
    </xf>
    <xf numFmtId="0" fontId="9" fillId="2" borderId="45" xfId="19" applyBorder="1"/>
    <xf numFmtId="0" fontId="8" fillId="2" borderId="1" xfId="24" applyFont="1" applyBorder="1" applyAlignment="1">
      <alignment horizontal="center"/>
    </xf>
    <xf numFmtId="0" fontId="8" fillId="3" borderId="2" xfId="24" applyFont="1" applyFill="1" applyBorder="1" applyAlignment="1">
      <alignment horizontal="center"/>
    </xf>
    <xf numFmtId="0" fontId="8" fillId="3" borderId="4" xfId="24" applyFont="1" applyFill="1" applyBorder="1" applyAlignment="1">
      <alignment horizontal="center"/>
    </xf>
    <xf numFmtId="0" fontId="8" fillId="3" borderId="14" xfId="24" applyFont="1" applyFill="1" applyBorder="1" applyAlignment="1">
      <alignment horizontal="center"/>
    </xf>
    <xf numFmtId="0" fontId="8" fillId="3" borderId="3" xfId="24" applyFont="1" applyFill="1" applyBorder="1" applyAlignment="1">
      <alignment horizontal="center"/>
    </xf>
    <xf numFmtId="0" fontId="8" fillId="3" borderId="5" xfId="24" applyFont="1" applyFill="1" applyBorder="1" applyAlignment="1">
      <alignment horizontal="center"/>
    </xf>
    <xf numFmtId="0" fontId="8" fillId="3" borderId="5" xfId="24" applyFont="1" applyFill="1" applyBorder="1" applyAlignment="1">
      <alignment horizontal="center" textRotation="90"/>
    </xf>
    <xf numFmtId="0" fontId="8" fillId="3" borderId="15" xfId="24" applyFont="1" applyFill="1" applyBorder="1" applyAlignment="1">
      <alignment horizontal="center"/>
    </xf>
    <xf numFmtId="0" fontId="8" fillId="3" borderId="28" xfId="24" applyFont="1" applyFill="1" applyBorder="1" applyAlignment="1">
      <alignment horizontal="center"/>
    </xf>
    <xf numFmtId="0" fontId="8" fillId="3" borderId="13" xfId="24" applyFont="1" applyFill="1" applyBorder="1" applyAlignment="1">
      <alignment horizontal="center"/>
    </xf>
    <xf numFmtId="0" fontId="8" fillId="3" borderId="30" xfId="24" applyFont="1" applyFill="1" applyBorder="1" applyAlignment="1">
      <alignment horizontal="center"/>
    </xf>
    <xf numFmtId="0" fontId="8" fillId="3" borderId="13" xfId="24" applyFont="1" applyFill="1" applyBorder="1" applyAlignment="1">
      <alignment horizontal="center" textRotation="90"/>
    </xf>
    <xf numFmtId="0" fontId="8" fillId="3" borderId="37" xfId="24" applyFont="1" applyFill="1" applyBorder="1" applyAlignment="1">
      <alignment horizontal="center"/>
    </xf>
    <xf numFmtId="0" fontId="8" fillId="3" borderId="36" xfId="24" applyFont="1" applyFill="1" applyBorder="1" applyAlignment="1">
      <alignment horizontal="center"/>
    </xf>
    <xf numFmtId="0" fontId="8" fillId="3" borderId="35" xfId="24" applyFont="1" applyFill="1" applyBorder="1" applyAlignment="1">
      <alignment horizontal="center"/>
    </xf>
    <xf numFmtId="0" fontId="9" fillId="2" borderId="6" xfId="24" applyFont="1" applyBorder="1" applyAlignment="1">
      <alignment horizontal="center"/>
    </xf>
    <xf numFmtId="0" fontId="9" fillId="2" borderId="1" xfId="24" applyFont="1" applyBorder="1" applyAlignment="1">
      <alignment horizontal="center"/>
    </xf>
    <xf numFmtId="0" fontId="9" fillId="2" borderId="54" xfId="13" applyBorder="1" applyAlignment="1">
      <alignment horizontal="center"/>
    </xf>
    <xf numFmtId="15" fontId="9" fillId="2" borderId="54" xfId="13" applyNumberFormat="1" applyBorder="1" applyAlignment="1">
      <alignment horizontal="center"/>
    </xf>
    <xf numFmtId="0" fontId="9" fillId="2" borderId="55" xfId="13" quotePrefix="1" applyBorder="1" applyAlignment="1">
      <alignment horizontal="center" wrapText="1"/>
    </xf>
    <xf numFmtId="0" fontId="9" fillId="8" borderId="1" xfId="24" applyFont="1" applyFill="1" applyBorder="1" applyAlignment="1">
      <alignment horizontal="center"/>
    </xf>
    <xf numFmtId="0" fontId="15" fillId="2" borderId="49" xfId="24" applyFont="1" applyBorder="1" applyAlignment="1">
      <alignment horizontal="center" vertical="center"/>
    </xf>
    <xf numFmtId="0" fontId="15" fillId="2" borderId="50" xfId="24" applyFont="1" applyBorder="1" applyAlignment="1">
      <alignment horizontal="center" vertical="center"/>
    </xf>
    <xf numFmtId="0" fontId="15" fillId="2" borderId="47" xfId="24" applyFont="1" applyBorder="1" applyAlignment="1">
      <alignment horizontal="center" vertical="center"/>
    </xf>
    <xf numFmtId="0" fontId="8" fillId="3" borderId="13" xfId="24" applyFont="1" applyFill="1" applyBorder="1" applyAlignment="1">
      <alignment horizontal="center"/>
    </xf>
  </cellXfs>
  <cellStyles count="29">
    <cellStyle name="Hyperlink 2" xfId="9" xr:uid="{8BC07803-F33F-4A45-BDD5-F27D08743EDB}"/>
    <cellStyle name="Hyperlink 3" xfId="10" xr:uid="{E2FE878F-791C-49CC-83D2-DE1961572623}"/>
    <cellStyle name="Normal 10" xfId="24" xr:uid="{2BE3131B-6D6B-4644-BC9B-FEDF18EAD268}"/>
    <cellStyle name="Normal 2" xfId="2" xr:uid="{87D1A0F4-A062-40E0-AEDC-6DA94A4C7782}"/>
    <cellStyle name="Normal 2 2" xfId="6" xr:uid="{991AE261-4B09-489E-A7E7-DCB49FA9B823}"/>
    <cellStyle name="Normal 2 3" xfId="1" xr:uid="{5BD450DF-319D-4DB6-96B7-BF8358782790}"/>
    <cellStyle name="Normal 2 3 2" xfId="13" xr:uid="{2CB1309F-1ECE-4A74-8FE9-894A027B30DD}"/>
    <cellStyle name="Normal 2 4" xfId="17" xr:uid="{594B4E96-A556-4A91-91C8-8E1B53EB5EB0}"/>
    <cellStyle name="Normal 2 4 2" xfId="19" xr:uid="{4C3EB30B-2A34-4641-9904-ABAB8EA9330A}"/>
    <cellStyle name="Normal 2 5" xfId="28" xr:uid="{8B0E3EF9-0462-41D6-AEAE-D3333B6122C9}"/>
    <cellStyle name="Normal 3" xfId="3" xr:uid="{4F84BDD8-6B91-4D1C-897A-B64DE4DF584D}"/>
    <cellStyle name="Normal 3 2" xfId="7" xr:uid="{4B538DBA-D0F8-4912-A66B-7E421C7928FE}"/>
    <cellStyle name="Normal 3 2 2" xfId="27" xr:uid="{BA2431A0-4204-4DD3-BD82-3104372629AC}"/>
    <cellStyle name="Normal 3 3" xfId="18" xr:uid="{12005BE9-BD2B-4C95-93F3-51E5D553E9BA}"/>
    <cellStyle name="Normal 3 3 2" xfId="20" xr:uid="{8F15054F-4A04-46AE-9BD6-B09B84799368}"/>
    <cellStyle name="Normal 3 3 2 2" xfId="21" xr:uid="{6C4CF4B7-13CB-48F3-B7FF-AB8CD66D1AE1}"/>
    <cellStyle name="Normal 3 3 2 2 2" xfId="22" xr:uid="{A1CA2069-BBC8-4350-A46A-77ADB0AE940A}"/>
    <cellStyle name="Normal 4" xfId="4" xr:uid="{F2F64CDC-A67D-46BD-BB8A-869D91D98877}"/>
    <cellStyle name="Normal 5" xfId="5" xr:uid="{36BA2E36-0F92-40E6-9B1D-DD7162867DD9}"/>
    <cellStyle name="Normal 5 2" xfId="26" xr:uid="{62611901-8B22-4969-89BF-C185237C94DC}"/>
    <cellStyle name="Normal 6" xfId="11" xr:uid="{87A7652A-FC27-4C81-836C-9AC15493D54F}"/>
    <cellStyle name="Normal 7" xfId="12" xr:uid="{61C97700-8E40-4339-BE9E-DEC1E9A40D1D}"/>
    <cellStyle name="Normal 7 2" xfId="15" xr:uid="{719B7C8E-5FA0-4B42-9625-07699F73E0A5}"/>
    <cellStyle name="Normal 8" xfId="14" xr:uid="{0CE3CAD8-35C8-499E-8836-FC5398B9499F}"/>
    <cellStyle name="Normal 8 2" xfId="16" xr:uid="{4EE19553-C105-4A69-BDD8-D62B50A0C775}"/>
    <cellStyle name="Normal 9" xfId="23" xr:uid="{E11861A9-6D2E-453D-B767-5233581BC907}"/>
    <cellStyle name="Normal 9 2" xfId="25" xr:uid="{C579E314-9143-4590-802E-C82541239F7D}"/>
    <cellStyle name="標準 2" xfId="8" xr:uid="{8DF9E1E7-8B4C-477A-B713-340F7677A7F9}"/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EC72-9B7E-438D-9689-FF2B26884657}">
  <dimension ref="A1:D7"/>
  <sheetViews>
    <sheetView workbookViewId="0">
      <selection activeCell="C31" sqref="C31"/>
    </sheetView>
  </sheetViews>
  <sheetFormatPr defaultColWidth="8.88671875" defaultRowHeight="14.4" x14ac:dyDescent="0.3"/>
  <cols>
    <col min="1" max="3" width="31.109375" style="4" customWidth="1"/>
    <col min="4" max="4" width="64.44140625" style="4" customWidth="1"/>
    <col min="5" max="9" width="8.88671875" style="4"/>
    <col min="10" max="10" width="8.88671875" style="4" customWidth="1"/>
    <col min="11" max="16384" width="8.88671875" style="4"/>
  </cols>
  <sheetData>
    <row r="1" spans="1:4" ht="24.6" x14ac:dyDescent="0.4">
      <c r="A1" s="98" t="s">
        <v>0</v>
      </c>
      <c r="B1" s="98"/>
      <c r="C1" s="98"/>
      <c r="D1" s="99"/>
    </row>
    <row r="3" spans="1:4" ht="15.6" x14ac:dyDescent="0.3">
      <c r="A3" s="100" t="s">
        <v>1</v>
      </c>
      <c r="B3" s="100" t="s">
        <v>2</v>
      </c>
      <c r="C3" s="100" t="s">
        <v>3</v>
      </c>
    </row>
    <row r="4" spans="1:4" ht="15" thickBot="1" x14ac:dyDescent="0.35">
      <c r="A4" s="128">
        <v>45708</v>
      </c>
      <c r="B4" s="127" t="s">
        <v>1294</v>
      </c>
      <c r="C4" s="129" t="s">
        <v>1300</v>
      </c>
    </row>
    <row r="7" spans="1:4" ht="18" customHeight="1" x14ac:dyDescent="0.3"/>
  </sheetData>
  <phoneticPr fontId="2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F411-85B8-463C-8A94-55EC8FF69BDC}">
  <sheetPr>
    <tabColor rgb="FFFFC000"/>
  </sheetPr>
  <dimension ref="A1:A2"/>
  <sheetViews>
    <sheetView workbookViewId="0">
      <selection activeCell="A30" sqref="A30"/>
    </sheetView>
  </sheetViews>
  <sheetFormatPr defaultColWidth="9.109375" defaultRowHeight="14.4" x14ac:dyDescent="0.3"/>
  <cols>
    <col min="1" max="1" width="154" style="4" bestFit="1" customWidth="1"/>
    <col min="2" max="16384" width="9.109375" style="4"/>
  </cols>
  <sheetData>
    <row r="1" spans="1:1" ht="35.4" x14ac:dyDescent="0.6">
      <c r="A1" s="101" t="s">
        <v>1295</v>
      </c>
    </row>
    <row r="2" spans="1:1" ht="23.4" x14ac:dyDescent="0.45">
      <c r="A2" s="102"/>
    </row>
  </sheetData>
  <phoneticPr fontId="2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C6BB-EE7E-4351-A287-5296EE6198F7}">
  <sheetPr>
    <tabColor theme="0" tint="-0.34998626667073579"/>
  </sheetPr>
  <dimension ref="A1:AH105"/>
  <sheetViews>
    <sheetView zoomScale="70" zoomScaleNormal="70" workbookViewId="0">
      <selection activeCell="AC22" sqref="AC22"/>
    </sheetView>
  </sheetViews>
  <sheetFormatPr defaultColWidth="8.6640625" defaultRowHeight="14.4" x14ac:dyDescent="0.3"/>
  <cols>
    <col min="1" max="1" width="14.109375" style="26" bestFit="1" customWidth="1"/>
    <col min="2" max="2" width="16.44140625" style="26" bestFit="1" customWidth="1"/>
    <col min="3" max="3" width="10.109375" style="26" bestFit="1" customWidth="1"/>
    <col min="4" max="4" width="27.109375" style="26" customWidth="1"/>
    <col min="5" max="5" width="9.44140625" style="26" customWidth="1"/>
    <col min="6" max="6" width="16.44140625" style="26" customWidth="1"/>
    <col min="7" max="11" width="17.44140625" style="26" customWidth="1"/>
    <col min="12" max="12" width="27.109375" style="26" customWidth="1"/>
    <col min="13" max="13" width="16.44140625" style="26" customWidth="1"/>
    <col min="14" max="14" width="28.88671875" style="26" bestFit="1" customWidth="1"/>
    <col min="15" max="15" width="6.33203125" style="26" customWidth="1"/>
    <col min="16" max="16" width="16.44140625" style="26" customWidth="1"/>
    <col min="17" max="21" width="17.44140625" style="26" customWidth="1"/>
    <col min="22" max="22" width="18.6640625" style="26" customWidth="1"/>
    <col min="23" max="23" width="10.6640625" style="26" customWidth="1"/>
    <col min="24" max="24" width="21.88671875" style="26" customWidth="1"/>
    <col min="25" max="25" width="19.109375" style="26" customWidth="1"/>
    <col min="26" max="26" width="14.6640625" style="26" customWidth="1"/>
    <col min="27" max="27" width="12.33203125" style="26" customWidth="1"/>
    <col min="28" max="28" width="11.44140625" style="26" customWidth="1"/>
    <col min="29" max="29" width="165" style="26" customWidth="1"/>
    <col min="30" max="30" width="32" style="12" bestFit="1" customWidth="1"/>
    <col min="31" max="31" width="21.88671875" style="12" customWidth="1"/>
    <col min="32" max="32" width="14.88671875" style="26" hidden="1" customWidth="1"/>
    <col min="33" max="33" width="8" style="26" hidden="1" customWidth="1"/>
    <col min="34" max="34" width="15" style="26" bestFit="1" customWidth="1"/>
    <col min="35" max="16384" width="8.6640625" style="26"/>
  </cols>
  <sheetData>
    <row r="1" spans="1:34" ht="21" x14ac:dyDescent="0.3">
      <c r="A1" s="25"/>
      <c r="B1" s="25"/>
      <c r="C1" s="25"/>
      <c r="D1" s="25"/>
      <c r="E1" s="131" t="s">
        <v>4</v>
      </c>
      <c r="F1" s="132"/>
      <c r="G1" s="132"/>
      <c r="H1" s="132"/>
      <c r="I1" s="132"/>
      <c r="J1" s="132"/>
      <c r="K1" s="132"/>
      <c r="L1" s="132"/>
      <c r="M1" s="133"/>
      <c r="N1" s="25"/>
      <c r="O1" s="131" t="s">
        <v>5</v>
      </c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3"/>
      <c r="AC1" s="25"/>
    </row>
    <row r="2" spans="1:34" x14ac:dyDescent="0.3">
      <c r="A2" s="110" t="s">
        <v>1297</v>
      </c>
      <c r="B2" s="110" t="s">
        <v>1296</v>
      </c>
      <c r="C2" s="110" t="s">
        <v>6</v>
      </c>
      <c r="D2" s="110" t="s">
        <v>7</v>
      </c>
      <c r="E2" s="110" t="s">
        <v>8</v>
      </c>
      <c r="F2" s="110" t="s">
        <v>9</v>
      </c>
      <c r="G2" s="110" t="s">
        <v>10</v>
      </c>
      <c r="H2" s="110" t="s">
        <v>11</v>
      </c>
      <c r="I2" s="110" t="s">
        <v>12</v>
      </c>
      <c r="J2" s="110" t="s">
        <v>13</v>
      </c>
      <c r="K2" s="110" t="s">
        <v>14</v>
      </c>
      <c r="L2" s="110" t="s">
        <v>15</v>
      </c>
      <c r="M2" s="110" t="s">
        <v>16</v>
      </c>
      <c r="N2" s="110" t="s">
        <v>17</v>
      </c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 t="s">
        <v>18</v>
      </c>
      <c r="AD2" s="2" t="s">
        <v>1296</v>
      </c>
      <c r="AE2" s="5" t="s">
        <v>19</v>
      </c>
      <c r="AF2" s="103" t="s">
        <v>20</v>
      </c>
      <c r="AG2" s="103" t="s">
        <v>21</v>
      </c>
      <c r="AH2" s="103" t="s">
        <v>22</v>
      </c>
    </row>
    <row r="3" spans="1:34" x14ac:dyDescent="0.3">
      <c r="A3" s="87"/>
      <c r="B3" s="25">
        <v>1</v>
      </c>
      <c r="C3" s="25" t="s">
        <v>23</v>
      </c>
      <c r="D3" s="25" t="s">
        <v>24</v>
      </c>
      <c r="E3" s="25" t="s">
        <v>24</v>
      </c>
      <c r="F3" s="25" t="s">
        <v>25</v>
      </c>
      <c r="G3" s="25" t="s">
        <v>26</v>
      </c>
      <c r="H3" s="25" t="s">
        <v>27</v>
      </c>
      <c r="I3" s="25" t="s">
        <v>28</v>
      </c>
      <c r="J3" s="25" t="s">
        <v>29</v>
      </c>
      <c r="K3" s="25" t="s">
        <v>30</v>
      </c>
      <c r="L3" s="25" t="s">
        <v>31</v>
      </c>
      <c r="M3" s="27"/>
      <c r="N3" s="25" t="s">
        <v>32</v>
      </c>
      <c r="O3" s="27"/>
      <c r="P3" s="27"/>
      <c r="Q3" s="25" t="s">
        <v>26</v>
      </c>
      <c r="R3" s="25" t="s">
        <v>27</v>
      </c>
      <c r="S3" s="25" t="s">
        <v>28</v>
      </c>
      <c r="T3" s="27"/>
      <c r="U3" s="25" t="s">
        <v>30</v>
      </c>
      <c r="V3" s="27"/>
      <c r="W3" s="27"/>
      <c r="X3" s="25" t="s">
        <v>33</v>
      </c>
      <c r="Y3" s="25" t="s">
        <v>34</v>
      </c>
      <c r="Z3" s="27"/>
      <c r="AA3" s="27"/>
      <c r="AB3" s="27"/>
      <c r="AC3" s="25" t="s">
        <v>35</v>
      </c>
      <c r="AD3" s="3" t="s">
        <v>36</v>
      </c>
      <c r="AE3" s="104" t="s">
        <v>37</v>
      </c>
      <c r="AF3" s="109" t="str">
        <f>IF(ISNUMBER(SEARCH("plus",AD3)),"SP",IF(ISNUMBER(SEARCH("standard",AD3)),"S",IF(ISNUMBER(SEARCH("medium",AD3)),"M",IF(ISNUMBER(SEARCH("fast",AD3)),"F",IF(ISNUMBER(SEARCH("input",AD3)),"I",IF(ISNUMBER(SEARCH("rst",AD3)),"SP"))))))</f>
        <v>S</v>
      </c>
      <c r="AG3" s="109" cm="1">
        <f t="array" ref="AG3">_xlfn.SWITCH(C3,"PTA12",2,"PTD1",2,"PTD0",3,"PTC16",1,"PTD5",1,"PTA5",2,"PTD6",2,"PTE8",2,(LEN(N3)+LEN(N3)-LEN(SUBSTITUTE(N3,"ADC",))-LEN(SUBSTITUTE(N3,"CMP",)))/3)</f>
        <v>1</v>
      </c>
      <c r="AH3" s="109" t="str">
        <f>IF(ISTEXT(AF3),_xlfn.CONCAT("ILKG_33/50_",AF3,AG3),"")</f>
        <v>ILKG_33/50_S1</v>
      </c>
    </row>
    <row r="4" spans="1:34" x14ac:dyDescent="0.3">
      <c r="A4" s="87"/>
      <c r="B4" s="25">
        <v>2</v>
      </c>
      <c r="C4" s="25" t="s">
        <v>38</v>
      </c>
      <c r="D4" s="25" t="s">
        <v>39</v>
      </c>
      <c r="E4" s="25" t="s">
        <v>39</v>
      </c>
      <c r="F4" s="25" t="s">
        <v>40</v>
      </c>
      <c r="G4" s="27"/>
      <c r="H4" s="25" t="s">
        <v>41</v>
      </c>
      <c r="I4" s="25" t="s">
        <v>42</v>
      </c>
      <c r="J4" s="27"/>
      <c r="K4" s="25" t="s">
        <v>43</v>
      </c>
      <c r="L4" s="25" t="s">
        <v>44</v>
      </c>
      <c r="M4" s="27"/>
      <c r="N4" s="25" t="s">
        <v>45</v>
      </c>
      <c r="O4" s="27"/>
      <c r="P4" s="27"/>
      <c r="Q4" s="27"/>
      <c r="R4" s="25" t="s">
        <v>41</v>
      </c>
      <c r="S4" s="25" t="s">
        <v>42</v>
      </c>
      <c r="T4" s="27"/>
      <c r="U4" s="25" t="s">
        <v>43</v>
      </c>
      <c r="V4" s="27"/>
      <c r="W4" s="27"/>
      <c r="X4" s="25" t="s">
        <v>46</v>
      </c>
      <c r="Y4" s="25" t="s">
        <v>47</v>
      </c>
      <c r="Z4" s="25" t="s">
        <v>48</v>
      </c>
      <c r="AA4" s="25" t="s">
        <v>49</v>
      </c>
      <c r="AB4" s="27"/>
      <c r="AC4" s="25" t="s">
        <v>50</v>
      </c>
      <c r="AD4" s="3" t="s">
        <v>36</v>
      </c>
      <c r="AE4" s="104" t="s">
        <v>37</v>
      </c>
      <c r="AF4" s="109" t="str">
        <f t="shared" ref="AF4:AF67" si="0">IF(ISNUMBER(SEARCH("plus",AD4)),"SP",IF(ISNUMBER(SEARCH("standard",AD4)),"S",IF(ISNUMBER(SEARCH("medium",AD4)),"M",IF(ISNUMBER(SEARCH("fast",AD4)),"F",IF(ISNUMBER(SEARCH("input",AD4)),"I",IF(ISNUMBER(SEARCH("rst",AD4)),"SP"))))))</f>
        <v>S</v>
      </c>
      <c r="AG4" s="109" cm="1">
        <f t="array" ref="AG4">_xlfn.SWITCH(C4,"PTA12",2,"PTD1",2,"PTD0",3,"PTC16",1,"PTD5",1,"PTA5",2,"PTD6",2,"PTE8",2,(LEN(N4)+LEN(N4)-LEN(SUBSTITUTE(N4,"ADC",))-LEN(SUBSTITUTE(N4,"CMP",)))/3)</f>
        <v>1</v>
      </c>
      <c r="AH4" s="109" t="str">
        <f t="shared" ref="AH4:AH67" si="1">IF(ISTEXT(AF4),_xlfn.CONCAT("ILKG_33/50_",AF4,AG4),"")</f>
        <v>ILKG_33/50_S1</v>
      </c>
    </row>
    <row r="5" spans="1:34" x14ac:dyDescent="0.3">
      <c r="A5" s="88">
        <v>1</v>
      </c>
      <c r="B5" s="25">
        <v>3</v>
      </c>
      <c r="C5" s="25" t="s">
        <v>51</v>
      </c>
      <c r="D5" s="25" t="s">
        <v>52</v>
      </c>
      <c r="E5" s="25" t="s">
        <v>52</v>
      </c>
      <c r="F5" s="27"/>
      <c r="G5" s="25" t="s">
        <v>53</v>
      </c>
      <c r="H5" s="25" t="s">
        <v>54</v>
      </c>
      <c r="I5" s="25" t="s">
        <v>55</v>
      </c>
      <c r="J5" s="27"/>
      <c r="K5" s="25" t="s">
        <v>56</v>
      </c>
      <c r="L5" s="25" t="s">
        <v>57</v>
      </c>
      <c r="M5" s="27"/>
      <c r="N5" s="25" t="s">
        <v>58</v>
      </c>
      <c r="O5" s="27"/>
      <c r="P5" s="27"/>
      <c r="Q5" s="25" t="s">
        <v>53</v>
      </c>
      <c r="R5" s="25" t="s">
        <v>54</v>
      </c>
      <c r="S5" s="25" t="s">
        <v>55</v>
      </c>
      <c r="T5" s="27"/>
      <c r="U5" s="25" t="s">
        <v>56</v>
      </c>
      <c r="V5" s="27"/>
      <c r="W5" s="27"/>
      <c r="X5" s="25" t="s">
        <v>59</v>
      </c>
      <c r="Y5" s="25" t="s">
        <v>60</v>
      </c>
      <c r="Z5" s="27"/>
      <c r="AA5" s="27"/>
      <c r="AB5" s="27"/>
      <c r="AC5" s="25" t="s">
        <v>61</v>
      </c>
      <c r="AD5" s="3" t="s">
        <v>36</v>
      </c>
      <c r="AE5" s="104" t="s">
        <v>37</v>
      </c>
      <c r="AF5" s="109" t="str">
        <f t="shared" si="0"/>
        <v>S</v>
      </c>
      <c r="AG5" s="109" cm="1">
        <f t="array" ref="AG5">_xlfn.SWITCH(C5,"PTA12",2,"PTD1",2,"PTD0",3,"PTC16",1,"PTD5",1,"PTA5",2,"PTD6",2,"PTE8",2,(LEN(N5)+LEN(N5)-LEN(SUBSTITUTE(N5,"ADC",))-LEN(SUBSTITUTE(N5,"CMP",)))/3)</f>
        <v>2</v>
      </c>
      <c r="AH5" s="109" t="str">
        <f t="shared" si="1"/>
        <v>ILKG_33/50_S2</v>
      </c>
    </row>
    <row r="6" spans="1:34" x14ac:dyDescent="0.3">
      <c r="A6" s="88">
        <v>2</v>
      </c>
      <c r="B6" s="25">
        <v>4</v>
      </c>
      <c r="C6" s="25" t="s">
        <v>62</v>
      </c>
      <c r="D6" s="25" t="s">
        <v>63</v>
      </c>
      <c r="E6" s="25" t="s">
        <v>63</v>
      </c>
      <c r="F6" s="27"/>
      <c r="G6" s="25" t="s">
        <v>64</v>
      </c>
      <c r="H6" s="25" t="s">
        <v>65</v>
      </c>
      <c r="I6" s="25" t="s">
        <v>66</v>
      </c>
      <c r="J6" s="27"/>
      <c r="K6" s="25" t="s">
        <v>67</v>
      </c>
      <c r="L6" s="25" t="s">
        <v>68</v>
      </c>
      <c r="M6" s="27"/>
      <c r="N6" s="25" t="s">
        <v>69</v>
      </c>
      <c r="O6" s="27"/>
      <c r="P6" s="27"/>
      <c r="Q6" s="25" t="s">
        <v>64</v>
      </c>
      <c r="R6" s="25" t="s">
        <v>65</v>
      </c>
      <c r="S6" s="25" t="s">
        <v>66</v>
      </c>
      <c r="T6" s="27"/>
      <c r="U6" s="25" t="s">
        <v>67</v>
      </c>
      <c r="V6" s="27"/>
      <c r="W6" s="27"/>
      <c r="X6" s="25" t="s">
        <v>70</v>
      </c>
      <c r="Y6" s="25" t="s">
        <v>71</v>
      </c>
      <c r="Z6" s="27"/>
      <c r="AA6" s="27"/>
      <c r="AB6" s="27"/>
      <c r="AC6" s="25" t="s">
        <v>72</v>
      </c>
      <c r="AD6" s="3" t="s">
        <v>36</v>
      </c>
      <c r="AE6" s="104" t="s">
        <v>73</v>
      </c>
      <c r="AF6" s="109" t="str">
        <f t="shared" si="0"/>
        <v>S</v>
      </c>
      <c r="AG6" s="109" cm="1">
        <f t="array" ref="AG6">_xlfn.SWITCH(C6,"PTA12",2,"PTD1",2,"PTD0",3,"PTC16",1,"PTD5",1,"PTA5",2,"PTD6",2,"PTE8",2,(LEN(N6)+LEN(N6)-LEN(SUBSTITUTE(N6,"ADC",))-LEN(SUBSTITUTE(N6,"CMP",)))/3)</f>
        <v>3</v>
      </c>
      <c r="AH6" s="109" t="str">
        <f t="shared" si="1"/>
        <v>ILKG_33/50_S3</v>
      </c>
    </row>
    <row r="7" spans="1:34" x14ac:dyDescent="0.3">
      <c r="A7" s="87"/>
      <c r="B7" s="25">
        <v>5</v>
      </c>
      <c r="C7" s="25" t="s">
        <v>74</v>
      </c>
      <c r="D7" s="25" t="s">
        <v>75</v>
      </c>
      <c r="E7" s="25" t="s">
        <v>75</v>
      </c>
      <c r="F7" s="27"/>
      <c r="G7" s="25" t="s">
        <v>76</v>
      </c>
      <c r="H7" s="25" t="s">
        <v>77</v>
      </c>
      <c r="I7" s="25" t="s">
        <v>78</v>
      </c>
      <c r="J7" s="27"/>
      <c r="K7" s="25" t="s">
        <v>79</v>
      </c>
      <c r="L7" s="25" t="s">
        <v>80</v>
      </c>
      <c r="M7" s="27"/>
      <c r="N7" s="25" t="s">
        <v>81</v>
      </c>
      <c r="O7" s="27"/>
      <c r="P7" s="27"/>
      <c r="Q7" s="25" t="s">
        <v>76</v>
      </c>
      <c r="R7" s="25" t="s">
        <v>77</v>
      </c>
      <c r="S7" s="25" t="s">
        <v>78</v>
      </c>
      <c r="T7" s="27"/>
      <c r="U7" s="25" t="s">
        <v>79</v>
      </c>
      <c r="V7" s="27"/>
      <c r="W7" s="27"/>
      <c r="X7" s="25" t="s">
        <v>82</v>
      </c>
      <c r="Y7" s="25" t="s">
        <v>83</v>
      </c>
      <c r="Z7" s="27"/>
      <c r="AA7" s="27"/>
      <c r="AB7" s="27"/>
      <c r="AC7" s="25" t="s">
        <v>84</v>
      </c>
      <c r="AD7" s="3" t="s">
        <v>36</v>
      </c>
      <c r="AE7" s="104" t="s">
        <v>73</v>
      </c>
      <c r="AF7" s="109" t="str">
        <f t="shared" si="0"/>
        <v>S</v>
      </c>
      <c r="AG7" s="109" cm="1">
        <f t="array" ref="AG7">_xlfn.SWITCH(C7,"PTA12",2,"PTD1",2,"PTD0",3,"PTC16",1,"PTD5",1,"PTA5",2,"PTD6",2,"PTE8",2,(LEN(N7)+LEN(N7)-LEN(SUBSTITUTE(N7,"ADC",))-LEN(SUBSTITUTE(N7,"CMP",)))/3)</f>
        <v>1</v>
      </c>
      <c r="AH7" s="109" t="str">
        <f t="shared" si="1"/>
        <v>ILKG_33/50_S1</v>
      </c>
    </row>
    <row r="8" spans="1:34" x14ac:dyDescent="0.3">
      <c r="A8" s="87"/>
      <c r="B8" s="25">
        <v>6</v>
      </c>
      <c r="C8" s="25" t="s">
        <v>85</v>
      </c>
      <c r="D8" s="25" t="s">
        <v>86</v>
      </c>
      <c r="E8" s="25" t="s">
        <v>86</v>
      </c>
      <c r="F8" s="27"/>
      <c r="G8" s="25" t="s">
        <v>87</v>
      </c>
      <c r="H8" s="25" t="s">
        <v>88</v>
      </c>
      <c r="I8" s="25" t="s">
        <v>89</v>
      </c>
      <c r="J8" s="25" t="s">
        <v>90</v>
      </c>
      <c r="K8" s="25" t="s">
        <v>91</v>
      </c>
      <c r="L8" s="25" t="s">
        <v>92</v>
      </c>
      <c r="M8" s="27"/>
      <c r="N8" s="25" t="s">
        <v>93</v>
      </c>
      <c r="O8" s="27"/>
      <c r="P8" s="27"/>
      <c r="Q8" s="25" t="s">
        <v>87</v>
      </c>
      <c r="R8" s="25" t="s">
        <v>88</v>
      </c>
      <c r="S8" s="25" t="s">
        <v>89</v>
      </c>
      <c r="T8" s="27"/>
      <c r="U8" s="25" t="s">
        <v>91</v>
      </c>
      <c r="V8" s="27"/>
      <c r="W8" s="27"/>
      <c r="X8" s="25" t="s">
        <v>59</v>
      </c>
      <c r="Y8" s="27"/>
      <c r="Z8" s="27"/>
      <c r="AA8" s="27"/>
      <c r="AB8" s="27"/>
      <c r="AC8" s="25" t="s">
        <v>94</v>
      </c>
      <c r="AD8" s="3" t="s">
        <v>36</v>
      </c>
      <c r="AE8" s="104" t="s">
        <v>37</v>
      </c>
      <c r="AF8" s="109" t="str">
        <f t="shared" si="0"/>
        <v>S</v>
      </c>
      <c r="AG8" s="109" cm="1">
        <f t="array" ref="AG8">_xlfn.SWITCH(C8,"PTA12",2,"PTD1",2,"PTD0",3,"PTC16",1,"PTD5",1,"PTA5",2,"PTD6",2,"PTE8",2,(LEN(N8)+LEN(N8)-LEN(SUBSTITUTE(N8,"ADC",))-LEN(SUBSTITUTE(N8,"CMP",)))/3)</f>
        <v>1</v>
      </c>
      <c r="AH8" s="109" t="str">
        <f t="shared" si="1"/>
        <v>ILKG_33/50_S1</v>
      </c>
    </row>
    <row r="9" spans="1:34" x14ac:dyDescent="0.3">
      <c r="A9" s="87"/>
      <c r="B9" s="25">
        <v>7</v>
      </c>
      <c r="C9" s="25" t="s">
        <v>95</v>
      </c>
      <c r="D9" s="25" t="s">
        <v>96</v>
      </c>
      <c r="E9" s="25" t="s">
        <v>96</v>
      </c>
      <c r="F9" s="27"/>
      <c r="G9" s="25" t="s">
        <v>97</v>
      </c>
      <c r="H9" s="25" t="s">
        <v>98</v>
      </c>
      <c r="I9" s="27"/>
      <c r="J9" s="25" t="s">
        <v>76</v>
      </c>
      <c r="K9" s="25" t="s">
        <v>79</v>
      </c>
      <c r="L9" s="27"/>
      <c r="M9" s="27"/>
      <c r="N9" s="25" t="s">
        <v>99</v>
      </c>
      <c r="O9" s="27"/>
      <c r="P9" s="27"/>
      <c r="Q9" s="25" t="s">
        <v>97</v>
      </c>
      <c r="R9" s="25" t="s">
        <v>98</v>
      </c>
      <c r="S9" s="27"/>
      <c r="T9" s="25" t="s">
        <v>76</v>
      </c>
      <c r="U9" s="25" t="s">
        <v>79</v>
      </c>
      <c r="V9" s="27"/>
      <c r="W9" s="27"/>
      <c r="X9" s="25" t="s">
        <v>100</v>
      </c>
      <c r="Y9" s="27"/>
      <c r="Z9" s="27"/>
      <c r="AA9" s="27"/>
      <c r="AB9" s="27"/>
      <c r="AC9" s="25" t="s">
        <v>101</v>
      </c>
      <c r="AD9" s="3" t="s">
        <v>36</v>
      </c>
      <c r="AE9" s="105"/>
      <c r="AF9" s="109" t="str">
        <f t="shared" si="0"/>
        <v>S</v>
      </c>
      <c r="AG9" s="109" cm="1">
        <f t="array" ref="AG9">_xlfn.SWITCH(C9,"PTA12",2,"PTD1",2,"PTD0",3,"PTC16",1,"PTD5",1,"PTA5",2,"PTD6",2,"PTE8",2,(LEN(N9)+LEN(N9)-LEN(SUBSTITUTE(N9,"ADC",))-LEN(SUBSTITUTE(N9,"CMP",)))/3)</f>
        <v>1</v>
      </c>
      <c r="AH9" s="109" t="str">
        <f t="shared" si="1"/>
        <v>ILKG_33/50_S1</v>
      </c>
    </row>
    <row r="10" spans="1:34" x14ac:dyDescent="0.3">
      <c r="A10" s="88">
        <v>3</v>
      </c>
      <c r="B10" s="25">
        <v>8</v>
      </c>
      <c r="C10" s="25" t="s">
        <v>102</v>
      </c>
      <c r="D10" s="25" t="s">
        <v>102</v>
      </c>
      <c r="E10" s="27"/>
      <c r="F10" s="27"/>
      <c r="G10" s="27"/>
      <c r="H10" s="27"/>
      <c r="I10" s="27"/>
      <c r="J10" s="27"/>
      <c r="K10" s="27"/>
      <c r="L10" s="27"/>
      <c r="M10" s="27"/>
      <c r="N10" s="25" t="s">
        <v>102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5" t="s">
        <v>102</v>
      </c>
      <c r="AD10" s="3" t="s">
        <v>103</v>
      </c>
      <c r="AE10" s="105"/>
      <c r="AF10" s="109" t="b">
        <f t="shared" si="0"/>
        <v>0</v>
      </c>
      <c r="AG10" s="109" cm="1">
        <f t="array" ref="AG10">_xlfn.SWITCH(C10,"PTA12",2,"PTD1",2,"PTD0",3,"PTC16",1,"PTD5",1,"PTA5",2,"PTD6",2,"PTE8",2,(LEN(N10)+LEN(N10)-LEN(SUBSTITUTE(N10,"ADC",))-LEN(SUBSTITUTE(N10,"CMP",)))/3)</f>
        <v>0</v>
      </c>
      <c r="AH10" s="109" t="str">
        <f t="shared" si="1"/>
        <v/>
      </c>
    </row>
    <row r="11" spans="1:34" x14ac:dyDescent="0.3">
      <c r="A11" s="88">
        <v>4</v>
      </c>
      <c r="B11" s="25">
        <v>9</v>
      </c>
      <c r="C11" s="25" t="s">
        <v>104</v>
      </c>
      <c r="D11" s="25" t="s">
        <v>104</v>
      </c>
      <c r="E11" s="27"/>
      <c r="F11" s="27"/>
      <c r="G11" s="27"/>
      <c r="H11" s="27"/>
      <c r="I11" s="27"/>
      <c r="J11" s="27"/>
      <c r="K11" s="27"/>
      <c r="L11" s="27"/>
      <c r="M11" s="27"/>
      <c r="N11" s="25" t="s">
        <v>104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5" t="s">
        <v>104</v>
      </c>
      <c r="AD11" s="3" t="s">
        <v>103</v>
      </c>
      <c r="AE11" s="105"/>
      <c r="AF11" s="109" t="b">
        <f t="shared" si="0"/>
        <v>0</v>
      </c>
      <c r="AG11" s="109" cm="1">
        <f t="array" ref="AG11">_xlfn.SWITCH(C11,"PTA12",2,"PTD1",2,"PTD0",3,"PTC16",1,"PTD5",1,"PTA5",2,"PTD6",2,"PTE8",2,(LEN(N11)+LEN(N11)-LEN(SUBSTITUTE(N11,"ADC",))-LEN(SUBSTITUTE(N11,"CMP",)))/3)</f>
        <v>0</v>
      </c>
      <c r="AH11" s="109" t="str">
        <f t="shared" si="1"/>
        <v/>
      </c>
    </row>
    <row r="12" spans="1:34" x14ac:dyDescent="0.3">
      <c r="A12" s="88">
        <v>5</v>
      </c>
      <c r="B12" s="25">
        <v>10</v>
      </c>
      <c r="C12" s="25" t="s">
        <v>105</v>
      </c>
      <c r="D12" s="25" t="s">
        <v>105</v>
      </c>
      <c r="E12" s="27"/>
      <c r="F12" s="27"/>
      <c r="G12" s="27"/>
      <c r="H12" s="27"/>
      <c r="I12" s="27"/>
      <c r="J12" s="27"/>
      <c r="K12" s="27"/>
      <c r="L12" s="27"/>
      <c r="M12" s="27"/>
      <c r="N12" s="25" t="s">
        <v>105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5" t="s">
        <v>105</v>
      </c>
      <c r="AD12" s="3" t="s">
        <v>106</v>
      </c>
      <c r="AE12" s="105"/>
      <c r="AF12" s="109" t="b">
        <f t="shared" si="0"/>
        <v>0</v>
      </c>
      <c r="AG12" s="109" cm="1">
        <f t="array" ref="AG12">_xlfn.SWITCH(C12,"PTA12",2,"PTD1",2,"PTD0",3,"PTC16",1,"PTD5",1,"PTA5",2,"PTD6",2,"PTE8",2,(LEN(N12)+LEN(N12)-LEN(SUBSTITUTE(N12,"ADC",))-LEN(SUBSTITUTE(N12,"CMP",)))/3)</f>
        <v>0</v>
      </c>
      <c r="AH12" s="109" t="str">
        <f t="shared" si="1"/>
        <v/>
      </c>
    </row>
    <row r="13" spans="1:34" s="89" customFormat="1" x14ac:dyDescent="0.3">
      <c r="A13" s="88">
        <v>6</v>
      </c>
      <c r="B13" s="25">
        <v>11</v>
      </c>
      <c r="C13" s="25" t="s">
        <v>107</v>
      </c>
      <c r="D13" s="25" t="s">
        <v>107</v>
      </c>
      <c r="E13" s="27"/>
      <c r="F13" s="27"/>
      <c r="G13" s="27"/>
      <c r="H13" s="27"/>
      <c r="I13" s="27"/>
      <c r="J13" s="27"/>
      <c r="K13" s="27"/>
      <c r="L13" s="27"/>
      <c r="M13" s="27"/>
      <c r="N13" s="25" t="s">
        <v>107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5" t="s">
        <v>107</v>
      </c>
      <c r="AD13" s="3" t="s">
        <v>108</v>
      </c>
      <c r="AE13" s="105"/>
      <c r="AF13" s="109" t="b">
        <f t="shared" si="0"/>
        <v>0</v>
      </c>
      <c r="AG13" s="109" cm="1">
        <f t="array" ref="AG13">_xlfn.SWITCH(C13,"PTA12",2,"PTD1",2,"PTD0",3,"PTC16",1,"PTD5",1,"PTA5",2,"PTD6",2,"PTE8",2,(LEN(N13)+LEN(N13)-LEN(SUBSTITUTE(N13,"ADC",))-LEN(SUBSTITUTE(N13,"CMP",)))/3)</f>
        <v>0</v>
      </c>
      <c r="AH13" s="109" t="str">
        <f t="shared" si="1"/>
        <v/>
      </c>
    </row>
    <row r="14" spans="1:34" x14ac:dyDescent="0.3">
      <c r="A14" s="87"/>
      <c r="B14" s="25">
        <v>12</v>
      </c>
      <c r="C14" s="25" t="s">
        <v>109</v>
      </c>
      <c r="D14" s="25" t="s">
        <v>109</v>
      </c>
      <c r="E14" s="27"/>
      <c r="F14" s="27"/>
      <c r="G14" s="27"/>
      <c r="H14" s="27"/>
      <c r="I14" s="27"/>
      <c r="J14" s="27"/>
      <c r="K14" s="27"/>
      <c r="L14" s="27"/>
      <c r="M14" s="27"/>
      <c r="N14" s="25" t="s">
        <v>109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5" t="s">
        <v>109</v>
      </c>
      <c r="AD14" s="3" t="s">
        <v>110</v>
      </c>
      <c r="AE14" s="105"/>
      <c r="AF14" s="109" t="b">
        <f t="shared" si="0"/>
        <v>0</v>
      </c>
      <c r="AG14" s="109" cm="1">
        <f t="array" ref="AG14">_xlfn.SWITCH(C14,"PTA12",2,"PTD1",2,"PTD0",3,"PTC16",1,"PTD5",1,"PTA5",2,"PTD6",2,"PTE8",2,(LEN(N14)+LEN(N14)-LEN(SUBSTITUTE(N14,"ADC",))-LEN(SUBSTITUTE(N14,"CMP",)))/3)</f>
        <v>0</v>
      </c>
      <c r="AH14" s="109" t="str">
        <f t="shared" si="1"/>
        <v/>
      </c>
    </row>
    <row r="15" spans="1:34" x14ac:dyDescent="0.3">
      <c r="A15" s="88">
        <v>7</v>
      </c>
      <c r="B15" s="25">
        <v>13</v>
      </c>
      <c r="C15" s="25" t="s">
        <v>111</v>
      </c>
      <c r="D15" s="25" t="s">
        <v>111</v>
      </c>
      <c r="E15" s="27"/>
      <c r="F15" s="27"/>
      <c r="G15" s="27"/>
      <c r="H15" s="27"/>
      <c r="I15" s="27"/>
      <c r="J15" s="27"/>
      <c r="K15" s="27"/>
      <c r="L15" s="27"/>
      <c r="M15" s="27"/>
      <c r="N15" s="25" t="s">
        <v>111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5" t="s">
        <v>111</v>
      </c>
      <c r="AD15" s="3" t="s">
        <v>108</v>
      </c>
      <c r="AE15" s="105"/>
      <c r="AF15" s="109" t="b">
        <f t="shared" si="0"/>
        <v>0</v>
      </c>
      <c r="AG15" s="109" cm="1">
        <f t="array" ref="AG15">_xlfn.SWITCH(C15,"PTA12",2,"PTD1",2,"PTD0",3,"PTC16",1,"PTD5",1,"PTA5",2,"PTD6",2,"PTE8",2,(LEN(N15)+LEN(N15)-LEN(SUBSTITUTE(N15,"ADC",))-LEN(SUBSTITUTE(N15,"CMP",)))/3)</f>
        <v>0</v>
      </c>
      <c r="AH15" s="109" t="str">
        <f t="shared" si="1"/>
        <v/>
      </c>
    </row>
    <row r="16" spans="1:34" x14ac:dyDescent="0.3">
      <c r="A16" s="88">
        <v>8</v>
      </c>
      <c r="B16" s="25">
        <v>14</v>
      </c>
      <c r="C16" s="25" t="s">
        <v>109</v>
      </c>
      <c r="D16" s="25" t="s">
        <v>109</v>
      </c>
      <c r="E16" s="27"/>
      <c r="F16" s="27"/>
      <c r="G16" s="27"/>
      <c r="H16" s="27"/>
      <c r="I16" s="27"/>
      <c r="J16" s="27"/>
      <c r="K16" s="27"/>
      <c r="L16" s="27"/>
      <c r="M16" s="27"/>
      <c r="N16" s="25" t="s">
        <v>109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5" t="s">
        <v>109</v>
      </c>
      <c r="AD16" s="3" t="s">
        <v>110</v>
      </c>
      <c r="AE16" s="105"/>
      <c r="AF16" s="109" t="b">
        <f t="shared" si="0"/>
        <v>0</v>
      </c>
      <c r="AG16" s="109" cm="1">
        <f t="array" ref="AG16">_xlfn.SWITCH(C16,"PTA12",2,"PTD1",2,"PTD0",3,"PTC16",1,"PTD5",1,"PTA5",2,"PTD6",2,"PTE8",2,(LEN(N16)+LEN(N16)-LEN(SUBSTITUTE(N16,"ADC",))-LEN(SUBSTITUTE(N16,"CMP",)))/3)</f>
        <v>0</v>
      </c>
      <c r="AH16" s="109" t="str">
        <f t="shared" si="1"/>
        <v/>
      </c>
    </row>
    <row r="17" spans="1:34" x14ac:dyDescent="0.3">
      <c r="A17" s="88">
        <v>9</v>
      </c>
      <c r="B17" s="25">
        <v>15</v>
      </c>
      <c r="C17" s="25" t="s">
        <v>112</v>
      </c>
      <c r="D17" s="25" t="s">
        <v>112</v>
      </c>
      <c r="E17" s="27"/>
      <c r="F17" s="27"/>
      <c r="G17" s="27"/>
      <c r="H17" s="27"/>
      <c r="I17" s="27"/>
      <c r="J17" s="27"/>
      <c r="K17" s="27"/>
      <c r="L17" s="27"/>
      <c r="M17" s="27"/>
      <c r="N17" s="25" t="s">
        <v>112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5" t="s">
        <v>112</v>
      </c>
      <c r="AD17" s="3" t="s">
        <v>113</v>
      </c>
      <c r="AE17" s="105"/>
      <c r="AF17" s="109" t="b">
        <f t="shared" si="0"/>
        <v>0</v>
      </c>
      <c r="AG17" s="109" cm="1">
        <f t="array" ref="AG17">_xlfn.SWITCH(C17,"PTA12",2,"PTD1",2,"PTD0",3,"PTC16",1,"PTD5",1,"PTA5",2,"PTD6",2,"PTE8",2,(LEN(N17)+LEN(N17)-LEN(SUBSTITUTE(N17,"ADC",))-LEN(SUBSTITUTE(N17,"CMP",)))/3)</f>
        <v>0</v>
      </c>
      <c r="AH17" s="109" t="str">
        <f t="shared" si="1"/>
        <v/>
      </c>
    </row>
    <row r="18" spans="1:34" x14ac:dyDescent="0.3">
      <c r="A18" s="87"/>
      <c r="B18" s="25">
        <v>16</v>
      </c>
      <c r="C18" s="25" t="s">
        <v>109</v>
      </c>
      <c r="D18" s="25" t="s">
        <v>109</v>
      </c>
      <c r="E18" s="27"/>
      <c r="F18" s="27"/>
      <c r="G18" s="27"/>
      <c r="H18" s="27"/>
      <c r="I18" s="27"/>
      <c r="J18" s="27"/>
      <c r="K18" s="27"/>
      <c r="L18" s="27"/>
      <c r="M18" s="27"/>
      <c r="N18" s="25" t="s">
        <v>109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5" t="s">
        <v>109</v>
      </c>
      <c r="AD18" s="3" t="s">
        <v>110</v>
      </c>
      <c r="AE18" s="105"/>
      <c r="AF18" s="109" t="b">
        <f t="shared" si="0"/>
        <v>0</v>
      </c>
      <c r="AG18" s="109" cm="1">
        <f t="array" ref="AG18">_xlfn.SWITCH(C18,"PTA12",2,"PTD1",2,"PTD0",3,"PTC16",1,"PTD5",1,"PTA5",2,"PTD6",2,"PTE8",2,(LEN(N18)+LEN(N18)-LEN(SUBSTITUTE(N18,"ADC",))-LEN(SUBSTITUTE(N18,"CMP",)))/3)</f>
        <v>0</v>
      </c>
      <c r="AH18" s="109" t="str">
        <f t="shared" si="1"/>
        <v/>
      </c>
    </row>
    <row r="19" spans="1:34" x14ac:dyDescent="0.3">
      <c r="A19" s="88">
        <v>10</v>
      </c>
      <c r="B19" s="25">
        <v>17</v>
      </c>
      <c r="C19" s="25" t="s">
        <v>114</v>
      </c>
      <c r="D19" s="25" t="s">
        <v>114</v>
      </c>
      <c r="E19" s="27"/>
      <c r="F19" s="27"/>
      <c r="G19" s="27"/>
      <c r="H19" s="27"/>
      <c r="I19" s="27"/>
      <c r="J19" s="27"/>
      <c r="K19" s="27"/>
      <c r="L19" s="27"/>
      <c r="M19" s="27"/>
      <c r="N19" s="25" t="s">
        <v>114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5" t="s">
        <v>114</v>
      </c>
      <c r="AD19" s="3" t="s">
        <v>113</v>
      </c>
      <c r="AE19" s="106"/>
      <c r="AF19" s="109" t="b">
        <f t="shared" si="0"/>
        <v>0</v>
      </c>
      <c r="AG19" s="109" cm="1">
        <f t="array" ref="AG19">_xlfn.SWITCH(C19,"PTA12",2,"PTD1",2,"PTD0",3,"PTC16",1,"PTD5",1,"PTA5",2,"PTD6",2,"PTE8",2,(LEN(N19)+LEN(N19)-LEN(SUBSTITUTE(N19,"ADC",))-LEN(SUBSTITUTE(N19,"CMP",)))/3)</f>
        <v>0</v>
      </c>
      <c r="AH19" s="109" t="str">
        <f t="shared" si="1"/>
        <v/>
      </c>
    </row>
    <row r="20" spans="1:34" x14ac:dyDescent="0.3">
      <c r="A20" s="87"/>
      <c r="B20" s="25">
        <v>18</v>
      </c>
      <c r="C20" s="25" t="s">
        <v>115</v>
      </c>
      <c r="D20" s="25" t="s">
        <v>116</v>
      </c>
      <c r="E20" s="25" t="s">
        <v>116</v>
      </c>
      <c r="F20" s="27"/>
      <c r="G20" s="27"/>
      <c r="H20" s="25" t="s">
        <v>117</v>
      </c>
      <c r="I20" s="25" t="s">
        <v>118</v>
      </c>
      <c r="J20" s="25" t="s">
        <v>119</v>
      </c>
      <c r="K20" s="27"/>
      <c r="L20" s="25" t="s">
        <v>120</v>
      </c>
      <c r="M20" s="27"/>
      <c r="N20" s="27"/>
      <c r="O20" s="27"/>
      <c r="P20" s="27"/>
      <c r="Q20" s="27"/>
      <c r="R20" s="25" t="s">
        <v>117</v>
      </c>
      <c r="S20" s="25" t="s">
        <v>118</v>
      </c>
      <c r="T20" s="27"/>
      <c r="U20" s="27"/>
      <c r="V20" s="27"/>
      <c r="W20" s="27"/>
      <c r="X20" s="25" t="s">
        <v>121</v>
      </c>
      <c r="Y20" s="25" t="s">
        <v>60</v>
      </c>
      <c r="Z20" s="27"/>
      <c r="AA20" s="27"/>
      <c r="AB20" s="27"/>
      <c r="AC20" s="25" t="s">
        <v>122</v>
      </c>
      <c r="AD20" s="3" t="s">
        <v>36</v>
      </c>
      <c r="AE20" s="105"/>
      <c r="AF20" s="109" t="str">
        <f t="shared" si="0"/>
        <v>S</v>
      </c>
      <c r="AG20" s="109" cm="1">
        <f t="array" ref="AG20">_xlfn.SWITCH(C20,"PTA12",2,"PTD1",2,"PTD0",3,"PTC16",1,"PTD5",1,"PTA5",2,"PTD6",2,"PTE8",2,(LEN(N20)+LEN(N20)-LEN(SUBSTITUTE(N20,"ADC",))-LEN(SUBSTITUTE(N20,"CMP",)))/3)</f>
        <v>0</v>
      </c>
      <c r="AH20" s="109" t="str">
        <f t="shared" si="1"/>
        <v>ILKG_33/50_S0</v>
      </c>
    </row>
    <row r="21" spans="1:34" x14ac:dyDescent="0.3">
      <c r="A21" s="87"/>
      <c r="B21" s="25">
        <v>19</v>
      </c>
      <c r="C21" s="25" t="s">
        <v>123</v>
      </c>
      <c r="D21" s="25" t="s">
        <v>124</v>
      </c>
      <c r="E21" s="25" t="s">
        <v>124</v>
      </c>
      <c r="F21" s="25" t="s">
        <v>125</v>
      </c>
      <c r="G21" s="27"/>
      <c r="H21" s="25" t="s">
        <v>126</v>
      </c>
      <c r="I21" s="25" t="s">
        <v>97</v>
      </c>
      <c r="J21" s="27"/>
      <c r="K21" s="25" t="s">
        <v>127</v>
      </c>
      <c r="L21" s="25" t="s">
        <v>128</v>
      </c>
      <c r="M21" s="27"/>
      <c r="N21" s="27"/>
      <c r="O21" s="27"/>
      <c r="P21" s="27"/>
      <c r="Q21" s="27"/>
      <c r="R21" s="25" t="s">
        <v>126</v>
      </c>
      <c r="S21" s="25" t="s">
        <v>97</v>
      </c>
      <c r="T21" s="27"/>
      <c r="U21" s="25" t="s">
        <v>127</v>
      </c>
      <c r="V21" s="25" t="s">
        <v>128</v>
      </c>
      <c r="W21" s="27"/>
      <c r="X21" s="25" t="s">
        <v>129</v>
      </c>
      <c r="Y21" s="27"/>
      <c r="Z21" s="27"/>
      <c r="AA21" s="27"/>
      <c r="AB21" s="27"/>
      <c r="AC21" s="25" t="s">
        <v>130</v>
      </c>
      <c r="AD21" s="3" t="s">
        <v>36</v>
      </c>
      <c r="AE21" s="105"/>
      <c r="AF21" s="109" t="str">
        <f t="shared" si="0"/>
        <v>S</v>
      </c>
      <c r="AG21" s="109" cm="1">
        <f t="array" ref="AG21">_xlfn.SWITCH(C21,"PTA12",2,"PTD1",2,"PTD0",3,"PTC16",1,"PTD5",1,"PTA5",2,"PTD6",2,"PTE8",2,(LEN(N21)+LEN(N21)-LEN(SUBSTITUTE(N21,"ADC",))-LEN(SUBSTITUTE(N21,"CMP",)))/3)</f>
        <v>0</v>
      </c>
      <c r="AH21" s="109" t="str">
        <f t="shared" si="1"/>
        <v>ILKG_33/50_S0</v>
      </c>
    </row>
    <row r="22" spans="1:34" x14ac:dyDescent="0.3">
      <c r="A22" s="87"/>
      <c r="B22" s="25">
        <v>20</v>
      </c>
      <c r="C22" s="25" t="s">
        <v>131</v>
      </c>
      <c r="D22" s="25" t="s">
        <v>132</v>
      </c>
      <c r="E22" s="25" t="s">
        <v>132</v>
      </c>
      <c r="F22" s="27"/>
      <c r="G22" s="25" t="s">
        <v>133</v>
      </c>
      <c r="H22" s="27"/>
      <c r="I22" s="27"/>
      <c r="J22" s="25" t="s">
        <v>134</v>
      </c>
      <c r="K22" s="25" t="s">
        <v>135</v>
      </c>
      <c r="L22" s="27"/>
      <c r="M22" s="27"/>
      <c r="N22" s="27"/>
      <c r="O22" s="27"/>
      <c r="P22" s="27"/>
      <c r="Q22" s="25" t="s">
        <v>133</v>
      </c>
      <c r="R22" s="27"/>
      <c r="S22" s="27"/>
      <c r="T22" s="25" t="s">
        <v>134</v>
      </c>
      <c r="U22" s="25" t="s">
        <v>135</v>
      </c>
      <c r="V22" s="27"/>
      <c r="W22" s="27"/>
      <c r="X22" s="25" t="s">
        <v>136</v>
      </c>
      <c r="Y22" s="25" t="s">
        <v>137</v>
      </c>
      <c r="Z22" s="27"/>
      <c r="AA22" s="27"/>
      <c r="AB22" s="27"/>
      <c r="AC22" s="25" t="s">
        <v>138</v>
      </c>
      <c r="AD22" s="3" t="s">
        <v>36</v>
      </c>
      <c r="AE22" s="105"/>
      <c r="AF22" s="109" t="str">
        <f t="shared" si="0"/>
        <v>S</v>
      </c>
      <c r="AG22" s="109" cm="1">
        <f t="array" ref="AG22">_xlfn.SWITCH(C22,"PTA12",2,"PTD1",2,"PTD0",3,"PTC16",1,"PTD5",1,"PTA5",2,"PTD6",2,"PTE8",2,(LEN(N22)+LEN(N22)-LEN(SUBSTITUTE(N22,"ADC",))-LEN(SUBSTITUTE(N22,"CMP",)))/3)</f>
        <v>0</v>
      </c>
      <c r="AH22" s="109" t="str">
        <f t="shared" si="1"/>
        <v>ILKG_33/50_S0</v>
      </c>
    </row>
    <row r="23" spans="1:34" x14ac:dyDescent="0.3">
      <c r="A23" s="87"/>
      <c r="B23" s="25">
        <v>21</v>
      </c>
      <c r="C23" s="25" t="s">
        <v>139</v>
      </c>
      <c r="D23" s="25" t="s">
        <v>140</v>
      </c>
      <c r="E23" s="25" t="s">
        <v>140</v>
      </c>
      <c r="F23" s="27"/>
      <c r="G23" s="25" t="s">
        <v>77</v>
      </c>
      <c r="H23" s="27"/>
      <c r="I23" s="25" t="s">
        <v>141</v>
      </c>
      <c r="J23" s="25" t="s">
        <v>142</v>
      </c>
      <c r="K23" s="25" t="s">
        <v>119</v>
      </c>
      <c r="L23" s="27"/>
      <c r="M23" s="27"/>
      <c r="N23" s="25" t="s">
        <v>143</v>
      </c>
      <c r="O23" s="27"/>
      <c r="P23" s="27"/>
      <c r="Q23" s="25" t="s">
        <v>77</v>
      </c>
      <c r="R23" s="27"/>
      <c r="S23" s="25" t="s">
        <v>141</v>
      </c>
      <c r="T23" s="25" t="s">
        <v>142</v>
      </c>
      <c r="U23" s="27"/>
      <c r="V23" s="27"/>
      <c r="W23" s="27"/>
      <c r="X23" s="27"/>
      <c r="Y23" s="27"/>
      <c r="Z23" s="27"/>
      <c r="AA23" s="27"/>
      <c r="AB23" s="27"/>
      <c r="AC23" s="25" t="s">
        <v>144</v>
      </c>
      <c r="AD23" s="3" t="s">
        <v>36</v>
      </c>
      <c r="AE23" s="105"/>
      <c r="AF23" s="109" t="str">
        <f t="shared" si="0"/>
        <v>S</v>
      </c>
      <c r="AG23" s="109" cm="1">
        <f t="array" ref="AG23">_xlfn.SWITCH(C23,"PTA12",2,"PTD1",2,"PTD0",3,"PTC16",1,"PTD5",1,"PTA5",2,"PTD6",2,"PTE8",2,(LEN(N23)+LEN(N23)-LEN(SUBSTITUTE(N23,"ADC",))-LEN(SUBSTITUTE(N23,"CMP",)))/3)</f>
        <v>1</v>
      </c>
      <c r="AH23" s="109" t="str">
        <f t="shared" si="1"/>
        <v>ILKG_33/50_S1</v>
      </c>
    </row>
    <row r="24" spans="1:34" x14ac:dyDescent="0.3">
      <c r="A24" s="88">
        <v>11</v>
      </c>
      <c r="B24" s="25">
        <v>22</v>
      </c>
      <c r="C24" s="25" t="s">
        <v>145</v>
      </c>
      <c r="D24" s="25" t="s">
        <v>146</v>
      </c>
      <c r="E24" s="25" t="s">
        <v>146</v>
      </c>
      <c r="F24" s="25" t="s">
        <v>118</v>
      </c>
      <c r="G24" s="25" t="s">
        <v>147</v>
      </c>
      <c r="H24" s="25" t="s">
        <v>148</v>
      </c>
      <c r="I24" s="25" t="s">
        <v>149</v>
      </c>
      <c r="J24" s="27"/>
      <c r="K24" s="27"/>
      <c r="L24" s="25" t="s">
        <v>150</v>
      </c>
      <c r="M24" s="27"/>
      <c r="N24" s="25" t="s">
        <v>151</v>
      </c>
      <c r="O24" s="27"/>
      <c r="P24" s="25" t="s">
        <v>118</v>
      </c>
      <c r="Q24" s="25" t="s">
        <v>147</v>
      </c>
      <c r="R24" s="25" t="s">
        <v>148</v>
      </c>
      <c r="S24" s="25" t="s">
        <v>149</v>
      </c>
      <c r="T24" s="27"/>
      <c r="U24" s="27"/>
      <c r="V24" s="25" t="s">
        <v>150</v>
      </c>
      <c r="W24" s="27"/>
      <c r="X24" s="25" t="s">
        <v>152</v>
      </c>
      <c r="Y24" s="25" t="s">
        <v>153</v>
      </c>
      <c r="Z24" s="27"/>
      <c r="AA24" s="27"/>
      <c r="AB24" s="27"/>
      <c r="AC24" s="25" t="s">
        <v>154</v>
      </c>
      <c r="AD24" s="3" t="s">
        <v>155</v>
      </c>
      <c r="AE24" s="105"/>
      <c r="AF24" s="109" t="str">
        <f t="shared" si="0"/>
        <v>M</v>
      </c>
      <c r="AG24" s="109" cm="1">
        <f t="array" ref="AG24">_xlfn.SWITCH(C24,"PTA12",2,"PTD1",2,"PTD0",3,"PTC16",1,"PTD5",1,"PTA5",2,"PTD6",2,"PTE8",2,(LEN(N24)+LEN(N24)-LEN(SUBSTITUTE(N24,"ADC",))-LEN(SUBSTITUTE(N24,"CMP",)))/3)</f>
        <v>1</v>
      </c>
      <c r="AH24" s="109" t="str">
        <f t="shared" si="1"/>
        <v>ILKG_33/50_M1</v>
      </c>
    </row>
    <row r="25" spans="1:34" x14ac:dyDescent="0.3">
      <c r="A25" s="88">
        <v>12</v>
      </c>
      <c r="B25" s="25">
        <v>23</v>
      </c>
      <c r="C25" s="25" t="s">
        <v>156</v>
      </c>
      <c r="D25" s="25" t="s">
        <v>157</v>
      </c>
      <c r="E25" s="25" t="s">
        <v>157</v>
      </c>
      <c r="F25" s="27"/>
      <c r="G25" s="25" t="s">
        <v>158</v>
      </c>
      <c r="H25" s="25" t="s">
        <v>159</v>
      </c>
      <c r="I25" s="27"/>
      <c r="J25" s="27"/>
      <c r="K25" s="27"/>
      <c r="L25" s="25" t="s">
        <v>160</v>
      </c>
      <c r="M25" s="27"/>
      <c r="N25" s="25" t="s">
        <v>161</v>
      </c>
      <c r="O25" s="27"/>
      <c r="P25" s="27"/>
      <c r="Q25" s="25" t="s">
        <v>158</v>
      </c>
      <c r="R25" s="25" t="s">
        <v>159</v>
      </c>
      <c r="S25" s="27"/>
      <c r="T25" s="27"/>
      <c r="U25" s="27"/>
      <c r="V25" s="25" t="s">
        <v>160</v>
      </c>
      <c r="W25" s="27"/>
      <c r="X25" s="25" t="s">
        <v>70</v>
      </c>
      <c r="Y25" s="25" t="s">
        <v>153</v>
      </c>
      <c r="Z25" s="27"/>
      <c r="AA25" s="27"/>
      <c r="AB25" s="27"/>
      <c r="AC25" s="25" t="s">
        <v>162</v>
      </c>
      <c r="AD25" s="3" t="s">
        <v>36</v>
      </c>
      <c r="AE25" s="105"/>
      <c r="AF25" s="109" t="str">
        <f t="shared" si="0"/>
        <v>S</v>
      </c>
      <c r="AG25" s="109" cm="1">
        <f t="array" ref="AG25">_xlfn.SWITCH(C25,"PTA12",2,"PTD1",2,"PTD0",3,"PTC16",1,"PTD5",1,"PTA5",2,"PTD6",2,"PTE8",2,(LEN(N25)+LEN(N25)-LEN(SUBSTITUTE(N25,"ADC",))-LEN(SUBSTITUTE(N25,"CMP",)))/3)</f>
        <v>1</v>
      </c>
      <c r="AH25" s="109" t="str">
        <f t="shared" si="1"/>
        <v>ILKG_33/50_S1</v>
      </c>
    </row>
    <row r="26" spans="1:34" x14ac:dyDescent="0.3">
      <c r="A26" s="87"/>
      <c r="B26" s="25">
        <v>24</v>
      </c>
      <c r="C26" s="25" t="s">
        <v>163</v>
      </c>
      <c r="D26" s="25" t="s">
        <v>164</v>
      </c>
      <c r="E26" s="25" t="s">
        <v>164</v>
      </c>
      <c r="F26" s="27"/>
      <c r="G26" s="25" t="s">
        <v>78</v>
      </c>
      <c r="H26" s="25" t="s">
        <v>165</v>
      </c>
      <c r="I26" s="25" t="s">
        <v>166</v>
      </c>
      <c r="J26" s="27"/>
      <c r="K26" s="25" t="s">
        <v>125</v>
      </c>
      <c r="L26" s="25" t="s">
        <v>167</v>
      </c>
      <c r="M26" s="27"/>
      <c r="N26" s="27"/>
      <c r="O26" s="27"/>
      <c r="P26" s="27"/>
      <c r="Q26" s="25" t="s">
        <v>78</v>
      </c>
      <c r="R26" s="25" t="s">
        <v>165</v>
      </c>
      <c r="S26" s="25" t="s">
        <v>166</v>
      </c>
      <c r="T26" s="27"/>
      <c r="U26" s="27"/>
      <c r="V26" s="27"/>
      <c r="W26" s="27"/>
      <c r="X26" s="25" t="s">
        <v>168</v>
      </c>
      <c r="Y26" s="27"/>
      <c r="Z26" s="27"/>
      <c r="AA26" s="27"/>
      <c r="AB26" s="27"/>
      <c r="AC26" s="25" t="s">
        <v>169</v>
      </c>
      <c r="AD26" s="3" t="s">
        <v>170</v>
      </c>
      <c r="AE26" s="105"/>
      <c r="AF26" s="109" t="str">
        <f t="shared" si="0"/>
        <v>SP</v>
      </c>
      <c r="AG26" s="109" cm="1">
        <f t="array" ref="AG26">_xlfn.SWITCH(C26,"PTA12",2,"PTD1",2,"PTD0",3,"PTC16",1,"PTD5",1,"PTA5",2,"PTD6",2,"PTE8",2,(LEN(N26)+LEN(N26)-LEN(SUBSTITUTE(N26,"ADC",))-LEN(SUBSTITUTE(N26,"CMP",)))/3)</f>
        <v>0</v>
      </c>
      <c r="AH26" s="109" t="str">
        <f t="shared" si="1"/>
        <v>ILKG_33/50_SP0</v>
      </c>
    </row>
    <row r="27" spans="1:34" x14ac:dyDescent="0.3">
      <c r="A27" s="87"/>
      <c r="B27" s="25">
        <v>25</v>
      </c>
      <c r="C27" s="25" t="s">
        <v>171</v>
      </c>
      <c r="D27" s="25" t="s">
        <v>172</v>
      </c>
      <c r="E27" s="25" t="s">
        <v>172</v>
      </c>
      <c r="F27" s="27"/>
      <c r="G27" s="25" t="s">
        <v>89</v>
      </c>
      <c r="H27" s="25" t="s">
        <v>128</v>
      </c>
      <c r="I27" s="25" t="s">
        <v>173</v>
      </c>
      <c r="J27" s="27"/>
      <c r="K27" s="27"/>
      <c r="L27" s="27"/>
      <c r="M27" s="27"/>
      <c r="N27" s="25" t="s">
        <v>174</v>
      </c>
      <c r="O27" s="27"/>
      <c r="P27" s="27"/>
      <c r="Q27" s="25" t="s">
        <v>89</v>
      </c>
      <c r="R27" s="25" t="s">
        <v>128</v>
      </c>
      <c r="S27" s="25" t="s">
        <v>173</v>
      </c>
      <c r="T27" s="27"/>
      <c r="U27" s="27"/>
      <c r="V27" s="27"/>
      <c r="W27" s="27"/>
      <c r="X27" s="25" t="s">
        <v>175</v>
      </c>
      <c r="Y27" s="25" t="s">
        <v>176</v>
      </c>
      <c r="Z27" s="27"/>
      <c r="AA27" s="27"/>
      <c r="AB27" s="27"/>
      <c r="AC27" s="25" t="s">
        <v>177</v>
      </c>
      <c r="AD27" s="3" t="s">
        <v>170</v>
      </c>
      <c r="AE27" s="105"/>
      <c r="AF27" s="109" t="str">
        <f t="shared" si="0"/>
        <v>SP</v>
      </c>
      <c r="AG27" s="109" cm="1">
        <f t="array" ref="AG27">_xlfn.SWITCH(C27,"PTA12",2,"PTD1",2,"PTD0",3,"PTC16",1,"PTD5",1,"PTA5",2,"PTD6",2,"PTE8",2,(LEN(N27)+LEN(N27)-LEN(SUBSTITUTE(N27,"ADC",))-LEN(SUBSTITUTE(N27,"CMP",)))/3)</f>
        <v>0</v>
      </c>
      <c r="AH27" s="109" t="str">
        <f t="shared" si="1"/>
        <v>ILKG_33/50_SP0</v>
      </c>
    </row>
    <row r="28" spans="1:34" x14ac:dyDescent="0.3">
      <c r="A28" s="88">
        <v>13</v>
      </c>
      <c r="B28" s="25">
        <v>26</v>
      </c>
      <c r="C28" s="25" t="s">
        <v>178</v>
      </c>
      <c r="D28" s="25" t="s">
        <v>179</v>
      </c>
      <c r="E28" s="25" t="s">
        <v>179</v>
      </c>
      <c r="F28" s="25" t="s">
        <v>180</v>
      </c>
      <c r="G28" s="25" t="s">
        <v>181</v>
      </c>
      <c r="H28" s="27"/>
      <c r="I28" s="25" t="s">
        <v>182</v>
      </c>
      <c r="J28" s="27"/>
      <c r="K28" s="27"/>
      <c r="L28" s="25" t="s">
        <v>127</v>
      </c>
      <c r="M28" s="27"/>
      <c r="N28" s="25" t="s">
        <v>183</v>
      </c>
      <c r="O28" s="27"/>
      <c r="P28" s="25" t="s">
        <v>180</v>
      </c>
      <c r="Q28" s="25" t="s">
        <v>181</v>
      </c>
      <c r="R28" s="27"/>
      <c r="S28" s="25" t="s">
        <v>182</v>
      </c>
      <c r="T28" s="27"/>
      <c r="U28" s="27"/>
      <c r="V28" s="25" t="s">
        <v>127</v>
      </c>
      <c r="W28" s="27"/>
      <c r="X28" s="25" t="s">
        <v>184</v>
      </c>
      <c r="Y28" s="27"/>
      <c r="Z28" s="27"/>
      <c r="AA28" s="27"/>
      <c r="AB28" s="27"/>
      <c r="AC28" s="25" t="s">
        <v>185</v>
      </c>
      <c r="AD28" s="3" t="s">
        <v>155</v>
      </c>
      <c r="AE28" s="105"/>
      <c r="AF28" s="109" t="str">
        <f t="shared" si="0"/>
        <v>M</v>
      </c>
      <c r="AG28" s="109" cm="1">
        <f t="array" ref="AG28">_xlfn.SWITCH(C28,"PTA12",2,"PTD1",2,"PTD0",3,"PTC16",1,"PTD5",1,"PTA5",2,"PTD6",2,"PTE8",2,(LEN(N28)+LEN(N28)-LEN(SUBSTITUTE(N28,"ADC",))-LEN(SUBSTITUTE(N28,"CMP",)))/3)</f>
        <v>2</v>
      </c>
      <c r="AH28" s="109" t="str">
        <f t="shared" si="1"/>
        <v>ILKG_33/50_M2</v>
      </c>
    </row>
    <row r="29" spans="1:34" x14ac:dyDescent="0.3">
      <c r="A29" s="88">
        <v>14</v>
      </c>
      <c r="B29" s="25">
        <v>27</v>
      </c>
      <c r="C29" s="25" t="s">
        <v>186</v>
      </c>
      <c r="D29" s="25" t="s">
        <v>187</v>
      </c>
      <c r="E29" s="25" t="s">
        <v>187</v>
      </c>
      <c r="F29" s="27"/>
      <c r="G29" s="25" t="s">
        <v>188</v>
      </c>
      <c r="H29" s="25" t="s">
        <v>189</v>
      </c>
      <c r="I29" s="25" t="s">
        <v>190</v>
      </c>
      <c r="J29" s="25" t="s">
        <v>167</v>
      </c>
      <c r="K29" s="25" t="s">
        <v>191</v>
      </c>
      <c r="L29" s="27"/>
      <c r="M29" s="27"/>
      <c r="N29" s="27"/>
      <c r="O29" s="27"/>
      <c r="P29" s="27"/>
      <c r="Q29" s="25" t="s">
        <v>188</v>
      </c>
      <c r="R29" s="25" t="s">
        <v>189</v>
      </c>
      <c r="S29" s="25" t="s">
        <v>190</v>
      </c>
      <c r="T29" s="27"/>
      <c r="U29" s="25" t="s">
        <v>191</v>
      </c>
      <c r="V29" s="27"/>
      <c r="W29" s="27"/>
      <c r="X29" s="25" t="s">
        <v>192</v>
      </c>
      <c r="Y29" s="25" t="s">
        <v>193</v>
      </c>
      <c r="Z29" s="27"/>
      <c r="AA29" s="27"/>
      <c r="AB29" s="27"/>
      <c r="AC29" s="25" t="s">
        <v>194</v>
      </c>
      <c r="AD29" s="3" t="s">
        <v>155</v>
      </c>
      <c r="AE29" s="105"/>
      <c r="AF29" s="109" t="str">
        <f t="shared" si="0"/>
        <v>M</v>
      </c>
      <c r="AG29" s="109" cm="1">
        <f t="array" ref="AG29">_xlfn.SWITCH(C29,"PTA12",2,"PTD1",2,"PTD0",3,"PTC16",1,"PTD5",1,"PTA5",2,"PTD6",2,"PTE8",2,(LEN(N29)+LEN(N29)-LEN(SUBSTITUTE(N29,"ADC",))-LEN(SUBSTITUTE(N29,"CMP",)))/3)</f>
        <v>0</v>
      </c>
      <c r="AH29" s="109" t="str">
        <f t="shared" si="1"/>
        <v>ILKG_33/50_M0</v>
      </c>
    </row>
    <row r="30" spans="1:34" x14ac:dyDescent="0.3">
      <c r="A30" s="88">
        <v>15</v>
      </c>
      <c r="B30" s="25">
        <v>28</v>
      </c>
      <c r="C30" s="25" t="s">
        <v>195</v>
      </c>
      <c r="D30" s="25" t="s">
        <v>196</v>
      </c>
      <c r="E30" s="25" t="s">
        <v>196</v>
      </c>
      <c r="F30" s="27"/>
      <c r="G30" s="25" t="s">
        <v>197</v>
      </c>
      <c r="H30" s="25" t="s">
        <v>198</v>
      </c>
      <c r="I30" s="27"/>
      <c r="J30" s="27"/>
      <c r="K30" s="25" t="s">
        <v>199</v>
      </c>
      <c r="L30" s="27"/>
      <c r="M30" s="25" t="s">
        <v>90</v>
      </c>
      <c r="N30" s="27"/>
      <c r="O30" s="27"/>
      <c r="P30" s="27"/>
      <c r="Q30" s="25" t="s">
        <v>197</v>
      </c>
      <c r="R30" s="25" t="s">
        <v>198</v>
      </c>
      <c r="S30" s="27"/>
      <c r="T30" s="27"/>
      <c r="U30" s="25" t="s">
        <v>199</v>
      </c>
      <c r="V30" s="27"/>
      <c r="W30" s="27"/>
      <c r="X30" s="25" t="s">
        <v>100</v>
      </c>
      <c r="Y30" s="25" t="s">
        <v>200</v>
      </c>
      <c r="Z30" s="27"/>
      <c r="AA30" s="27"/>
      <c r="AB30" s="27"/>
      <c r="AC30" s="25" t="s">
        <v>201</v>
      </c>
      <c r="AD30" s="3" t="s">
        <v>170</v>
      </c>
      <c r="AE30" s="105"/>
      <c r="AF30" s="109" t="str">
        <f t="shared" si="0"/>
        <v>SP</v>
      </c>
      <c r="AG30" s="109" cm="1">
        <f t="array" ref="AG30">_xlfn.SWITCH(C30,"PTA12",2,"PTD1",2,"PTD0",3,"PTC16",1,"PTD5",1,"PTA5",2,"PTD6",2,"PTE8",2,(LEN(N30)+LEN(N30)-LEN(SUBSTITUTE(N30,"ADC",))-LEN(SUBSTITUTE(N30,"CMP",)))/3)</f>
        <v>0</v>
      </c>
      <c r="AH30" s="109" t="str">
        <f t="shared" si="1"/>
        <v>ILKG_33/50_SP0</v>
      </c>
    </row>
    <row r="31" spans="1:34" x14ac:dyDescent="0.3">
      <c r="A31" s="88">
        <v>16</v>
      </c>
      <c r="B31" s="25">
        <v>29</v>
      </c>
      <c r="C31" s="25" t="s">
        <v>202</v>
      </c>
      <c r="D31" s="25" t="s">
        <v>203</v>
      </c>
      <c r="E31" s="25" t="s">
        <v>203</v>
      </c>
      <c r="F31" s="27"/>
      <c r="G31" s="25" t="s">
        <v>53</v>
      </c>
      <c r="H31" s="25" t="s">
        <v>204</v>
      </c>
      <c r="I31" s="25" t="s">
        <v>205</v>
      </c>
      <c r="J31" s="27"/>
      <c r="K31" s="27"/>
      <c r="L31" s="27"/>
      <c r="M31" s="25" t="s">
        <v>206</v>
      </c>
      <c r="N31" s="25" t="s">
        <v>207</v>
      </c>
      <c r="O31" s="27"/>
      <c r="P31" s="27"/>
      <c r="Q31" s="25" t="s">
        <v>53</v>
      </c>
      <c r="R31" s="27"/>
      <c r="S31" s="25" t="s">
        <v>205</v>
      </c>
      <c r="T31" s="27"/>
      <c r="U31" s="27"/>
      <c r="V31" s="27"/>
      <c r="W31" s="27"/>
      <c r="X31" s="25" t="s">
        <v>121</v>
      </c>
      <c r="Y31" s="27"/>
      <c r="Z31" s="27"/>
      <c r="AA31" s="27"/>
      <c r="AB31" s="27"/>
      <c r="AC31" s="25" t="s">
        <v>208</v>
      </c>
      <c r="AD31" s="3" t="s">
        <v>155</v>
      </c>
      <c r="AE31" s="105"/>
      <c r="AF31" s="109" t="str">
        <f t="shared" si="0"/>
        <v>M</v>
      </c>
      <c r="AG31" s="109" cm="1">
        <f t="array" ref="AG31">_xlfn.SWITCH(C31,"PTA12",2,"PTD1",2,"PTD0",3,"PTC16",1,"PTD5",1,"PTA5",2,"PTD6",2,"PTE8",2,(LEN(N31)+LEN(N31)-LEN(SUBSTITUTE(N31,"ADC",))-LEN(SUBSTITUTE(N31,"CMP",)))/3)</f>
        <v>1</v>
      </c>
      <c r="AH31" s="109" t="str">
        <f t="shared" si="1"/>
        <v>ILKG_33/50_M1</v>
      </c>
    </row>
    <row r="32" spans="1:34" x14ac:dyDescent="0.3">
      <c r="A32" s="88">
        <v>17</v>
      </c>
      <c r="B32" s="25">
        <v>30</v>
      </c>
      <c r="C32" s="25" t="s">
        <v>209</v>
      </c>
      <c r="D32" s="25" t="s">
        <v>210</v>
      </c>
      <c r="E32" s="25" t="s">
        <v>210</v>
      </c>
      <c r="F32" s="27"/>
      <c r="G32" s="25" t="s">
        <v>64</v>
      </c>
      <c r="H32" s="25" t="s">
        <v>211</v>
      </c>
      <c r="I32" s="25" t="s">
        <v>212</v>
      </c>
      <c r="J32" s="27"/>
      <c r="K32" s="27"/>
      <c r="L32" s="27"/>
      <c r="M32" s="27"/>
      <c r="N32" s="25" t="s">
        <v>213</v>
      </c>
      <c r="O32" s="27"/>
      <c r="P32" s="27"/>
      <c r="Q32" s="25" t="s">
        <v>64</v>
      </c>
      <c r="R32" s="25" t="s">
        <v>211</v>
      </c>
      <c r="S32" s="25" t="s">
        <v>212</v>
      </c>
      <c r="T32" s="27"/>
      <c r="U32" s="27"/>
      <c r="V32" s="27"/>
      <c r="W32" s="27"/>
      <c r="X32" s="25" t="s">
        <v>214</v>
      </c>
      <c r="Y32" s="25" t="s">
        <v>215</v>
      </c>
      <c r="Z32" s="25" t="s">
        <v>216</v>
      </c>
      <c r="AA32" s="25" t="s">
        <v>217</v>
      </c>
      <c r="AB32" s="27"/>
      <c r="AC32" s="25" t="s">
        <v>218</v>
      </c>
      <c r="AD32" s="3" t="s">
        <v>155</v>
      </c>
      <c r="AE32" s="105"/>
      <c r="AF32" s="109" t="str">
        <f t="shared" si="0"/>
        <v>M</v>
      </c>
      <c r="AG32" s="109" cm="1">
        <f t="array" ref="AG32">_xlfn.SWITCH(C32,"PTA12",2,"PTD1",2,"PTD0",3,"PTC16",1,"PTD5",1,"PTA5",2,"PTD6",2,"PTE8",2,(LEN(N32)+LEN(N32)-LEN(SUBSTITUTE(N32,"ADC",))-LEN(SUBSTITUTE(N32,"CMP",)))/3)</f>
        <v>1</v>
      </c>
      <c r="AH32" s="109" t="str">
        <f t="shared" si="1"/>
        <v>ILKG_33/50_M1</v>
      </c>
    </row>
    <row r="33" spans="1:34" x14ac:dyDescent="0.3">
      <c r="A33" s="87"/>
      <c r="B33" s="25">
        <v>31</v>
      </c>
      <c r="C33" s="25" t="s">
        <v>219</v>
      </c>
      <c r="D33" s="25" t="s">
        <v>220</v>
      </c>
      <c r="E33" s="25" t="s">
        <v>220</v>
      </c>
      <c r="F33" s="27"/>
      <c r="G33" s="25" t="s">
        <v>126</v>
      </c>
      <c r="H33" s="25" t="s">
        <v>221</v>
      </c>
      <c r="I33" s="25" t="s">
        <v>222</v>
      </c>
      <c r="J33" s="27"/>
      <c r="K33" s="27"/>
      <c r="L33" s="27"/>
      <c r="M33" s="27"/>
      <c r="N33" s="25" t="s">
        <v>223</v>
      </c>
      <c r="O33" s="27"/>
      <c r="P33" s="27"/>
      <c r="Q33" s="25" t="s">
        <v>126</v>
      </c>
      <c r="R33" s="25" t="s">
        <v>221</v>
      </c>
      <c r="S33" s="25" t="s">
        <v>222</v>
      </c>
      <c r="T33" s="27"/>
      <c r="U33" s="27"/>
      <c r="V33" s="27"/>
      <c r="W33" s="27"/>
      <c r="X33" s="25" t="s">
        <v>33</v>
      </c>
      <c r="Y33" s="27"/>
      <c r="Z33" s="27"/>
      <c r="AA33" s="27"/>
      <c r="AB33" s="27"/>
      <c r="AC33" s="25" t="s">
        <v>224</v>
      </c>
      <c r="AD33" s="3" t="s">
        <v>36</v>
      </c>
      <c r="AE33" s="105"/>
      <c r="AF33" s="109" t="str">
        <f t="shared" si="0"/>
        <v>S</v>
      </c>
      <c r="AG33" s="109" cm="1">
        <f t="array" ref="AG33">_xlfn.SWITCH(C33,"PTA12",2,"PTD1",2,"PTD0",3,"PTC16",1,"PTD5",1,"PTA5",2,"PTD6",2,"PTE8",2,(LEN(N33)+LEN(N33)-LEN(SUBSTITUTE(N33,"ADC",))-LEN(SUBSTITUTE(N33,"CMP",)))/3)</f>
        <v>1</v>
      </c>
      <c r="AH33" s="109" t="str">
        <f t="shared" si="1"/>
        <v>ILKG_33/50_S1</v>
      </c>
    </row>
    <row r="34" spans="1:34" x14ac:dyDescent="0.3">
      <c r="A34" s="87"/>
      <c r="B34" s="25">
        <v>32</v>
      </c>
      <c r="C34" s="25" t="s">
        <v>225</v>
      </c>
      <c r="D34" s="25" t="s">
        <v>226</v>
      </c>
      <c r="E34" s="25" t="s">
        <v>226</v>
      </c>
      <c r="F34" s="27"/>
      <c r="G34" s="25" t="s">
        <v>30</v>
      </c>
      <c r="H34" s="25" t="s">
        <v>227</v>
      </c>
      <c r="I34" s="27"/>
      <c r="J34" s="27"/>
      <c r="K34" s="25" t="s">
        <v>228</v>
      </c>
      <c r="L34" s="25" t="s">
        <v>190</v>
      </c>
      <c r="M34" s="27"/>
      <c r="N34" s="25" t="s">
        <v>229</v>
      </c>
      <c r="O34" s="27"/>
      <c r="P34" s="27"/>
      <c r="Q34" s="25" t="s">
        <v>30</v>
      </c>
      <c r="R34" s="25" t="s">
        <v>227</v>
      </c>
      <c r="S34" s="27"/>
      <c r="T34" s="27"/>
      <c r="U34" s="25" t="s">
        <v>228</v>
      </c>
      <c r="V34" s="25" t="s">
        <v>190</v>
      </c>
      <c r="W34" s="27"/>
      <c r="X34" s="25" t="s">
        <v>46</v>
      </c>
      <c r="Y34" s="25" t="s">
        <v>137</v>
      </c>
      <c r="Z34" s="27"/>
      <c r="AA34" s="27"/>
      <c r="AB34" s="27"/>
      <c r="AC34" s="25" t="s">
        <v>230</v>
      </c>
      <c r="AD34" s="3" t="s">
        <v>170</v>
      </c>
      <c r="AE34" s="105"/>
      <c r="AF34" s="109" t="str">
        <f t="shared" si="0"/>
        <v>SP</v>
      </c>
      <c r="AG34" s="109" cm="1">
        <f t="array" ref="AG34">_xlfn.SWITCH(C34,"PTA12",2,"PTD1",2,"PTD0",3,"PTC16",1,"PTD5",1,"PTA5",2,"PTD6",2,"PTE8",2,(LEN(N34)+LEN(N34)-LEN(SUBSTITUTE(N34,"ADC",))-LEN(SUBSTITUTE(N34,"CMP",)))/3)</f>
        <v>2</v>
      </c>
      <c r="AH34" s="109" t="str">
        <f t="shared" si="1"/>
        <v>ILKG_33/50_SP2</v>
      </c>
    </row>
    <row r="35" spans="1:34" x14ac:dyDescent="0.3">
      <c r="A35" s="88">
        <v>18</v>
      </c>
      <c r="B35" s="25">
        <v>33</v>
      </c>
      <c r="C35" s="25" t="s">
        <v>231</v>
      </c>
      <c r="D35" s="25" t="s">
        <v>232</v>
      </c>
      <c r="E35" s="25" t="s">
        <v>232</v>
      </c>
      <c r="F35" s="27"/>
      <c r="G35" s="25" t="s">
        <v>117</v>
      </c>
      <c r="H35" s="25" t="s">
        <v>64</v>
      </c>
      <c r="I35" s="27"/>
      <c r="J35" s="27"/>
      <c r="K35" s="25" t="s">
        <v>233</v>
      </c>
      <c r="L35" s="25" t="s">
        <v>189</v>
      </c>
      <c r="M35" s="27"/>
      <c r="N35" s="27"/>
      <c r="O35" s="27"/>
      <c r="P35" s="27"/>
      <c r="Q35" s="25" t="s">
        <v>117</v>
      </c>
      <c r="R35" s="25" t="s">
        <v>64</v>
      </c>
      <c r="S35" s="27"/>
      <c r="T35" s="27"/>
      <c r="U35" s="25" t="s">
        <v>233</v>
      </c>
      <c r="V35" s="25" t="s">
        <v>189</v>
      </c>
      <c r="W35" s="27"/>
      <c r="X35" s="25" t="s">
        <v>192</v>
      </c>
      <c r="Y35" s="25" t="s">
        <v>71</v>
      </c>
      <c r="Z35" s="27"/>
      <c r="AA35" s="27"/>
      <c r="AB35" s="27"/>
      <c r="AC35" s="25" t="s">
        <v>234</v>
      </c>
      <c r="AD35" s="3" t="s">
        <v>155</v>
      </c>
      <c r="AE35" s="105"/>
      <c r="AF35" s="109" t="str">
        <f t="shared" si="0"/>
        <v>M</v>
      </c>
      <c r="AG35" s="109" cm="1">
        <f t="array" ref="AG35">_xlfn.SWITCH(C35,"PTA12",2,"PTD1",2,"PTD0",3,"PTC16",1,"PTD5",1,"PTA5",2,"PTD6",2,"PTE8",2,(LEN(N35)+LEN(N35)-LEN(SUBSTITUTE(N35,"ADC",))-LEN(SUBSTITUTE(N35,"CMP",)))/3)</f>
        <v>1</v>
      </c>
      <c r="AH35" s="109" t="str">
        <f t="shared" si="1"/>
        <v>ILKG_33/50_M1</v>
      </c>
    </row>
    <row r="36" spans="1:34" x14ac:dyDescent="0.3">
      <c r="A36" s="87"/>
      <c r="B36" s="25">
        <v>34</v>
      </c>
      <c r="C36" s="25" t="s">
        <v>235</v>
      </c>
      <c r="D36" s="25" t="s">
        <v>236</v>
      </c>
      <c r="E36" s="25" t="s">
        <v>236</v>
      </c>
      <c r="F36" s="27"/>
      <c r="G36" s="25" t="s">
        <v>133</v>
      </c>
      <c r="H36" s="25" t="s">
        <v>119</v>
      </c>
      <c r="I36" s="27"/>
      <c r="J36" s="27"/>
      <c r="K36" s="25" t="s">
        <v>198</v>
      </c>
      <c r="L36" s="27"/>
      <c r="M36" s="27"/>
      <c r="N36" s="27"/>
      <c r="O36" s="27"/>
      <c r="P36" s="27"/>
      <c r="Q36" s="25" t="s">
        <v>133</v>
      </c>
      <c r="R36" s="27"/>
      <c r="S36" s="27"/>
      <c r="T36" s="27"/>
      <c r="U36" s="25" t="s">
        <v>198</v>
      </c>
      <c r="V36" s="27"/>
      <c r="W36" s="27"/>
      <c r="X36" s="25" t="s">
        <v>237</v>
      </c>
      <c r="Y36" s="25" t="s">
        <v>238</v>
      </c>
      <c r="Z36" s="27"/>
      <c r="AA36" s="27"/>
      <c r="AB36" s="27"/>
      <c r="AC36" s="25" t="s">
        <v>239</v>
      </c>
      <c r="AD36" s="3" t="s">
        <v>170</v>
      </c>
      <c r="AE36" s="105"/>
      <c r="AF36" s="109" t="str">
        <f t="shared" si="0"/>
        <v>SP</v>
      </c>
      <c r="AG36" s="109" cm="1">
        <f t="array" ref="AG36">_xlfn.SWITCH(C36,"PTA12",2,"PTD1",2,"PTD0",3,"PTC16",1,"PTD5",1,"PTA5",2,"PTD6",2,"PTE8",2,(LEN(N36)+LEN(N36)-LEN(SUBSTITUTE(N36,"ADC",))-LEN(SUBSTITUTE(N36,"CMP",)))/3)</f>
        <v>0</v>
      </c>
      <c r="AH36" s="109" t="str">
        <f t="shared" si="1"/>
        <v>ILKG_33/50_SP0</v>
      </c>
    </row>
    <row r="37" spans="1:34" x14ac:dyDescent="0.3">
      <c r="A37" s="87"/>
      <c r="B37" s="25">
        <v>35</v>
      </c>
      <c r="C37" s="25" t="s">
        <v>240</v>
      </c>
      <c r="D37" s="25" t="s">
        <v>241</v>
      </c>
      <c r="E37" s="25" t="s">
        <v>241</v>
      </c>
      <c r="F37" s="27"/>
      <c r="G37" s="25" t="s">
        <v>55</v>
      </c>
      <c r="H37" s="27"/>
      <c r="I37" s="27"/>
      <c r="J37" s="27"/>
      <c r="K37" s="25" t="s">
        <v>149</v>
      </c>
      <c r="L37" s="27"/>
      <c r="M37" s="27"/>
      <c r="N37" s="27"/>
      <c r="O37" s="27"/>
      <c r="P37" s="27"/>
      <c r="Q37" s="25" t="s">
        <v>55</v>
      </c>
      <c r="R37" s="27"/>
      <c r="S37" s="27"/>
      <c r="T37" s="27"/>
      <c r="U37" s="25" t="s">
        <v>149</v>
      </c>
      <c r="V37" s="27"/>
      <c r="W37" s="27"/>
      <c r="X37" s="25" t="s">
        <v>242</v>
      </c>
      <c r="Y37" s="25" t="s">
        <v>153</v>
      </c>
      <c r="Z37" s="27"/>
      <c r="AA37" s="27"/>
      <c r="AB37" s="27"/>
      <c r="AC37" s="25" t="s">
        <v>243</v>
      </c>
      <c r="AD37" s="3" t="s">
        <v>170</v>
      </c>
      <c r="AE37" s="105"/>
      <c r="AF37" s="109" t="str">
        <f t="shared" si="0"/>
        <v>SP</v>
      </c>
      <c r="AG37" s="109" cm="1">
        <f t="array" ref="AG37">_xlfn.SWITCH(C37,"PTA12",2,"PTD1",2,"PTD0",3,"PTC16",1,"PTD5",1,"PTA5",2,"PTD6",2,"PTE8",2,(LEN(N37)+LEN(N37)-LEN(SUBSTITUTE(N37,"ADC",))-LEN(SUBSTITUTE(N37,"CMP",)))/3)</f>
        <v>0</v>
      </c>
      <c r="AH37" s="109" t="str">
        <f t="shared" si="1"/>
        <v>ILKG_33/50_SP0</v>
      </c>
    </row>
    <row r="38" spans="1:34" x14ac:dyDescent="0.3">
      <c r="A38" s="87"/>
      <c r="B38" s="25">
        <v>36</v>
      </c>
      <c r="C38" s="25" t="s">
        <v>244</v>
      </c>
      <c r="D38" s="25" t="s">
        <v>245</v>
      </c>
      <c r="E38" s="25" t="s">
        <v>245</v>
      </c>
      <c r="F38" s="27"/>
      <c r="G38" s="25" t="s">
        <v>66</v>
      </c>
      <c r="H38" s="25" t="s">
        <v>199</v>
      </c>
      <c r="I38" s="27"/>
      <c r="J38" s="25" t="s">
        <v>141</v>
      </c>
      <c r="K38" s="25" t="s">
        <v>167</v>
      </c>
      <c r="L38" s="27"/>
      <c r="M38" s="27"/>
      <c r="N38" s="27"/>
      <c r="O38" s="27"/>
      <c r="P38" s="27"/>
      <c r="Q38" s="25" t="s">
        <v>66</v>
      </c>
      <c r="R38" s="25" t="s">
        <v>199</v>
      </c>
      <c r="S38" s="27"/>
      <c r="T38" s="25" t="s">
        <v>141</v>
      </c>
      <c r="U38" s="27"/>
      <c r="V38" s="27"/>
      <c r="W38" s="27"/>
      <c r="X38" s="25" t="s">
        <v>246</v>
      </c>
      <c r="Y38" s="27"/>
      <c r="Z38" s="27"/>
      <c r="AA38" s="27"/>
      <c r="AB38" s="27"/>
      <c r="AC38" s="25" t="s">
        <v>247</v>
      </c>
      <c r="AD38" s="3" t="s">
        <v>170</v>
      </c>
      <c r="AE38" s="105"/>
      <c r="AF38" s="109" t="str">
        <f t="shared" si="0"/>
        <v>SP</v>
      </c>
      <c r="AG38" s="109" cm="1">
        <f t="array" ref="AG38">_xlfn.SWITCH(C38,"PTA12",2,"PTD1",2,"PTD0",3,"PTC16",1,"PTD5",1,"PTA5",2,"PTD6",2,"PTE8",2,(LEN(N38)+LEN(N38)-LEN(SUBSTITUTE(N38,"ADC",))-LEN(SUBSTITUTE(N38,"CMP",)))/3)</f>
        <v>0</v>
      </c>
      <c r="AH38" s="109" t="str">
        <f t="shared" si="1"/>
        <v>ILKG_33/50_SP0</v>
      </c>
    </row>
    <row r="39" spans="1:34" x14ac:dyDescent="0.3">
      <c r="A39" s="87"/>
      <c r="B39" s="25">
        <v>37</v>
      </c>
      <c r="C39" s="25" t="s">
        <v>105</v>
      </c>
      <c r="D39" s="25" t="s">
        <v>105</v>
      </c>
      <c r="E39" s="27"/>
      <c r="F39" s="27"/>
      <c r="G39" s="27"/>
      <c r="H39" s="27"/>
      <c r="I39" s="27"/>
      <c r="J39" s="27"/>
      <c r="K39" s="27"/>
      <c r="L39" s="27"/>
      <c r="M39" s="27"/>
      <c r="N39" s="25" t="s">
        <v>105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5" t="s">
        <v>105</v>
      </c>
      <c r="AD39" s="3" t="s">
        <v>106</v>
      </c>
      <c r="AE39" s="105"/>
      <c r="AF39" s="109" t="b">
        <f t="shared" si="0"/>
        <v>0</v>
      </c>
      <c r="AG39" s="109" cm="1">
        <f t="array" ref="AG39">_xlfn.SWITCH(C39,"PTA12",2,"PTD1",2,"PTD0",3,"PTC16",1,"PTD5",1,"PTA5",2,"PTD6",2,"PTE8",2,(LEN(N39)+LEN(N39)-LEN(SUBSTITUTE(N39,"ADC",))-LEN(SUBSTITUTE(N39,"CMP",)))/3)</f>
        <v>0</v>
      </c>
      <c r="AH39" s="109" t="str">
        <f t="shared" si="1"/>
        <v/>
      </c>
    </row>
    <row r="40" spans="1:34" x14ac:dyDescent="0.3">
      <c r="A40" s="87"/>
      <c r="B40" s="25">
        <v>38</v>
      </c>
      <c r="C40" s="25" t="s">
        <v>109</v>
      </c>
      <c r="D40" s="25" t="s">
        <v>109</v>
      </c>
      <c r="E40" s="27"/>
      <c r="F40" s="27"/>
      <c r="G40" s="27"/>
      <c r="H40" s="27"/>
      <c r="I40" s="27"/>
      <c r="J40" s="27"/>
      <c r="K40" s="27"/>
      <c r="L40" s="27"/>
      <c r="M40" s="27"/>
      <c r="N40" s="25" t="s">
        <v>109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5" t="s">
        <v>109</v>
      </c>
      <c r="AD40" s="3" t="s">
        <v>110</v>
      </c>
      <c r="AE40" s="105"/>
      <c r="AF40" s="109" t="b">
        <f t="shared" si="0"/>
        <v>0</v>
      </c>
      <c r="AG40" s="109" cm="1">
        <f t="array" ref="AG40">_xlfn.SWITCH(C40,"PTA12",2,"PTD1",2,"PTD0",3,"PTC16",1,"PTD5",1,"PTA5",2,"PTD6",2,"PTE8",2,(LEN(N40)+LEN(N40)-LEN(SUBSTITUTE(N40,"ADC",))-LEN(SUBSTITUTE(N40,"CMP",)))/3)</f>
        <v>0</v>
      </c>
      <c r="AH40" s="109" t="str">
        <f t="shared" si="1"/>
        <v/>
      </c>
    </row>
    <row r="41" spans="1:34" x14ac:dyDescent="0.3">
      <c r="A41" s="88">
        <v>19</v>
      </c>
      <c r="B41" s="25">
        <v>39</v>
      </c>
      <c r="C41" s="25" t="s">
        <v>248</v>
      </c>
      <c r="D41" s="25" t="s">
        <v>249</v>
      </c>
      <c r="E41" s="25" t="s">
        <v>249</v>
      </c>
      <c r="F41" s="27"/>
      <c r="G41" s="25" t="s">
        <v>77</v>
      </c>
      <c r="H41" s="27"/>
      <c r="I41" s="25" t="s">
        <v>79</v>
      </c>
      <c r="J41" s="27"/>
      <c r="K41" s="25" t="s">
        <v>250</v>
      </c>
      <c r="L41" s="27"/>
      <c r="M41" s="27"/>
      <c r="N41" s="27"/>
      <c r="O41" s="27"/>
      <c r="P41" s="27"/>
      <c r="Q41" s="25" t="s">
        <v>77</v>
      </c>
      <c r="R41" s="27"/>
      <c r="S41" s="25" t="s">
        <v>79</v>
      </c>
      <c r="T41" s="27"/>
      <c r="U41" s="25" t="s">
        <v>250</v>
      </c>
      <c r="V41" s="27"/>
      <c r="W41" s="27"/>
      <c r="X41" s="25" t="s">
        <v>251</v>
      </c>
      <c r="Y41" s="27"/>
      <c r="Z41" s="27"/>
      <c r="AA41" s="27"/>
      <c r="AB41" s="27"/>
      <c r="AC41" s="25" t="s">
        <v>252</v>
      </c>
      <c r="AD41" s="3" t="s">
        <v>170</v>
      </c>
      <c r="AE41" s="105"/>
      <c r="AF41" s="109" t="str">
        <f t="shared" si="0"/>
        <v>SP</v>
      </c>
      <c r="AG41" s="109" cm="1">
        <f t="array" ref="AG41">_xlfn.SWITCH(C41,"PTA12",2,"PTD1",2,"PTD0",3,"PTC16",1,"PTD5",1,"PTA5",2,"PTD6",2,"PTE8",2,(LEN(N41)+LEN(N41)-LEN(SUBSTITUTE(N41,"ADC",))-LEN(SUBSTITUTE(N41,"CMP",)))/3)</f>
        <v>0</v>
      </c>
      <c r="AH41" s="109" t="str">
        <f t="shared" si="1"/>
        <v>ILKG_33/50_SP0</v>
      </c>
    </row>
    <row r="42" spans="1:34" x14ac:dyDescent="0.3">
      <c r="A42" s="87"/>
      <c r="B42" s="25">
        <v>40</v>
      </c>
      <c r="C42" s="25" t="s">
        <v>253</v>
      </c>
      <c r="D42" s="25" t="s">
        <v>254</v>
      </c>
      <c r="E42" s="25" t="s">
        <v>254</v>
      </c>
      <c r="F42" s="27"/>
      <c r="G42" s="25" t="s">
        <v>147</v>
      </c>
      <c r="H42" s="27"/>
      <c r="I42" s="27"/>
      <c r="J42" s="27"/>
      <c r="K42" s="25" t="s">
        <v>255</v>
      </c>
      <c r="L42" s="27"/>
      <c r="M42" s="27"/>
      <c r="N42" s="27"/>
      <c r="O42" s="27"/>
      <c r="P42" s="27"/>
      <c r="Q42" s="25" t="s">
        <v>147</v>
      </c>
      <c r="R42" s="27"/>
      <c r="S42" s="27"/>
      <c r="T42" s="27"/>
      <c r="U42" s="25" t="s">
        <v>255</v>
      </c>
      <c r="V42" s="27"/>
      <c r="W42" s="27"/>
      <c r="X42" s="25" t="s">
        <v>256</v>
      </c>
      <c r="Y42" s="27"/>
      <c r="Z42" s="27"/>
      <c r="AA42" s="27"/>
      <c r="AB42" s="27"/>
      <c r="AC42" s="25" t="s">
        <v>257</v>
      </c>
      <c r="AD42" s="3" t="s">
        <v>36</v>
      </c>
      <c r="AE42" s="105"/>
      <c r="AF42" s="109" t="str">
        <f t="shared" si="0"/>
        <v>S</v>
      </c>
      <c r="AG42" s="109" cm="1">
        <f t="array" ref="AG42">_xlfn.SWITCH(C42,"PTA12",2,"PTD1",2,"PTD0",3,"PTC16",1,"PTD5",1,"PTA5",2,"PTD6",2,"PTE8",2,(LEN(N42)+LEN(N42)-LEN(SUBSTITUTE(N42,"ADC",))-LEN(SUBSTITUTE(N42,"CMP",)))/3)</f>
        <v>0</v>
      </c>
      <c r="AH42" s="109" t="str">
        <f t="shared" si="1"/>
        <v>ILKG_33/50_S0</v>
      </c>
    </row>
    <row r="43" spans="1:34" x14ac:dyDescent="0.3">
      <c r="A43" s="87"/>
      <c r="B43" s="25">
        <v>41</v>
      </c>
      <c r="C43" s="25" t="s">
        <v>258</v>
      </c>
      <c r="D43" s="25" t="s">
        <v>259</v>
      </c>
      <c r="E43" s="25" t="s">
        <v>259</v>
      </c>
      <c r="F43" s="27"/>
      <c r="G43" s="25" t="s">
        <v>260</v>
      </c>
      <c r="H43" s="25" t="s">
        <v>67</v>
      </c>
      <c r="I43" s="27"/>
      <c r="J43" s="27"/>
      <c r="K43" s="25" t="s">
        <v>261</v>
      </c>
      <c r="L43" s="25" t="s">
        <v>150</v>
      </c>
      <c r="M43" s="27"/>
      <c r="N43" s="27"/>
      <c r="O43" s="27"/>
      <c r="P43" s="27"/>
      <c r="Q43" s="25" t="s">
        <v>260</v>
      </c>
      <c r="R43" s="25" t="s">
        <v>67</v>
      </c>
      <c r="S43" s="27"/>
      <c r="T43" s="27"/>
      <c r="U43" s="25" t="s">
        <v>261</v>
      </c>
      <c r="V43" s="25" t="s">
        <v>150</v>
      </c>
      <c r="W43" s="27"/>
      <c r="X43" s="25" t="s">
        <v>262</v>
      </c>
      <c r="Y43" s="27"/>
      <c r="Z43" s="27"/>
      <c r="AA43" s="27"/>
      <c r="AB43" s="27"/>
      <c r="AC43" s="25" t="s">
        <v>263</v>
      </c>
      <c r="AD43" s="3" t="s">
        <v>170</v>
      </c>
      <c r="AE43" s="105"/>
      <c r="AF43" s="109" t="str">
        <f t="shared" si="0"/>
        <v>SP</v>
      </c>
      <c r="AG43" s="109" cm="1">
        <f t="array" ref="AG43">_xlfn.SWITCH(C43,"PTA12",2,"PTD1",2,"PTD0",3,"PTC16",1,"PTD5",1,"PTA5",2,"PTD6",2,"PTE8",2,(LEN(N43)+LEN(N43)-LEN(SUBSTITUTE(N43,"ADC",))-LEN(SUBSTITUTE(N43,"CMP",)))/3)</f>
        <v>0</v>
      </c>
      <c r="AH43" s="109" t="str">
        <f t="shared" si="1"/>
        <v>ILKG_33/50_SP0</v>
      </c>
    </row>
    <row r="44" spans="1:34" x14ac:dyDescent="0.3">
      <c r="A44" s="87"/>
      <c r="B44" s="25">
        <v>42</v>
      </c>
      <c r="C44" s="25" t="s">
        <v>264</v>
      </c>
      <c r="D44" s="25" t="s">
        <v>265</v>
      </c>
      <c r="E44" s="25" t="s">
        <v>265</v>
      </c>
      <c r="F44" s="25" t="s">
        <v>65</v>
      </c>
      <c r="G44" s="25" t="s">
        <v>266</v>
      </c>
      <c r="H44" s="27"/>
      <c r="I44" s="27"/>
      <c r="J44" s="25" t="s">
        <v>56</v>
      </c>
      <c r="K44" s="25" t="s">
        <v>267</v>
      </c>
      <c r="L44" s="25" t="s">
        <v>160</v>
      </c>
      <c r="M44" s="27"/>
      <c r="N44" s="27"/>
      <c r="O44" s="27"/>
      <c r="P44" s="25" t="s">
        <v>65</v>
      </c>
      <c r="Q44" s="25" t="s">
        <v>266</v>
      </c>
      <c r="R44" s="27"/>
      <c r="S44" s="27"/>
      <c r="T44" s="25" t="s">
        <v>56</v>
      </c>
      <c r="U44" s="25" t="s">
        <v>267</v>
      </c>
      <c r="V44" s="25" t="s">
        <v>160</v>
      </c>
      <c r="W44" s="27"/>
      <c r="X44" s="25" t="s">
        <v>136</v>
      </c>
      <c r="Y44" s="27"/>
      <c r="Z44" s="27"/>
      <c r="AA44" s="27"/>
      <c r="AB44" s="27"/>
      <c r="AC44" s="25" t="s">
        <v>268</v>
      </c>
      <c r="AD44" s="3" t="s">
        <v>170</v>
      </c>
      <c r="AE44" s="105"/>
      <c r="AF44" s="109" t="str">
        <f t="shared" si="0"/>
        <v>SP</v>
      </c>
      <c r="AG44" s="109" cm="1">
        <f t="array" ref="AG44">_xlfn.SWITCH(C44,"PTA12",2,"PTD1",2,"PTD0",3,"PTC16",1,"PTD5",1,"PTA5",2,"PTD6",2,"PTE8",2,(LEN(N44)+LEN(N44)-LEN(SUBSTITUTE(N44,"ADC",))-LEN(SUBSTITUTE(N44,"CMP",)))/3)</f>
        <v>0</v>
      </c>
      <c r="AH44" s="109" t="str">
        <f t="shared" si="1"/>
        <v>ILKG_33/50_SP0</v>
      </c>
    </row>
    <row r="45" spans="1:34" x14ac:dyDescent="0.3">
      <c r="A45" s="87"/>
      <c r="B45" s="25">
        <v>43</v>
      </c>
      <c r="C45" s="25" t="s">
        <v>269</v>
      </c>
      <c r="D45" s="25" t="s">
        <v>270</v>
      </c>
      <c r="E45" s="25" t="s">
        <v>270</v>
      </c>
      <c r="F45" s="25" t="s">
        <v>54</v>
      </c>
      <c r="G45" s="27"/>
      <c r="H45" s="25" t="s">
        <v>271</v>
      </c>
      <c r="I45" s="25" t="s">
        <v>272</v>
      </c>
      <c r="J45" s="27"/>
      <c r="K45" s="25" t="s">
        <v>273</v>
      </c>
      <c r="L45" s="25" t="s">
        <v>43</v>
      </c>
      <c r="M45" s="27"/>
      <c r="N45" s="27"/>
      <c r="O45" s="27"/>
      <c r="P45" s="25" t="s">
        <v>54</v>
      </c>
      <c r="Q45" s="27"/>
      <c r="R45" s="27"/>
      <c r="S45" s="25" t="s">
        <v>272</v>
      </c>
      <c r="T45" s="27"/>
      <c r="U45" s="25" t="s">
        <v>273</v>
      </c>
      <c r="V45" s="25" t="s">
        <v>43</v>
      </c>
      <c r="W45" s="27"/>
      <c r="X45" s="27"/>
      <c r="Y45" s="27"/>
      <c r="Z45" s="27"/>
      <c r="AA45" s="27"/>
      <c r="AB45" s="27"/>
      <c r="AC45" s="25" t="s">
        <v>274</v>
      </c>
      <c r="AD45" s="3" t="s">
        <v>170</v>
      </c>
      <c r="AE45" s="105"/>
      <c r="AF45" s="109" t="str">
        <f t="shared" si="0"/>
        <v>SP</v>
      </c>
      <c r="AG45" s="109" cm="1">
        <f t="array" ref="AG45">_xlfn.SWITCH(C45,"PTA12",2,"PTD1",2,"PTD0",3,"PTC16",1,"PTD5",1,"PTA5",2,"PTD6",2,"PTE8",2,(LEN(N45)+LEN(N45)-LEN(SUBSTITUTE(N45,"ADC",))-LEN(SUBSTITUTE(N45,"CMP",)))/3)</f>
        <v>0</v>
      </c>
      <c r="AH45" s="109" t="str">
        <f t="shared" si="1"/>
        <v>ILKG_33/50_SP0</v>
      </c>
    </row>
    <row r="46" spans="1:34" x14ac:dyDescent="0.3">
      <c r="A46" s="88">
        <v>20</v>
      </c>
      <c r="B46" s="25">
        <v>44</v>
      </c>
      <c r="C46" s="25" t="s">
        <v>275</v>
      </c>
      <c r="D46" s="25" t="s">
        <v>276</v>
      </c>
      <c r="E46" s="25" t="s">
        <v>276</v>
      </c>
      <c r="F46" s="25" t="s">
        <v>87</v>
      </c>
      <c r="G46" s="25" t="s">
        <v>277</v>
      </c>
      <c r="H46" s="27"/>
      <c r="I46" s="25" t="s">
        <v>278</v>
      </c>
      <c r="J46" s="27"/>
      <c r="K46" s="25" t="s">
        <v>233</v>
      </c>
      <c r="L46" s="25" t="s">
        <v>266</v>
      </c>
      <c r="M46" s="27"/>
      <c r="N46" s="25" t="s">
        <v>279</v>
      </c>
      <c r="O46" s="27"/>
      <c r="P46" s="25" t="s">
        <v>87</v>
      </c>
      <c r="Q46" s="25" t="s">
        <v>277</v>
      </c>
      <c r="R46" s="27"/>
      <c r="S46" s="25" t="s">
        <v>278</v>
      </c>
      <c r="T46" s="27"/>
      <c r="U46" s="25" t="s">
        <v>233</v>
      </c>
      <c r="V46" s="25" t="s">
        <v>266</v>
      </c>
      <c r="W46" s="27"/>
      <c r="X46" s="25" t="s">
        <v>280</v>
      </c>
      <c r="Y46" s="25" t="s">
        <v>137</v>
      </c>
      <c r="Z46" s="27"/>
      <c r="AA46" s="27"/>
      <c r="AB46" s="27"/>
      <c r="AC46" s="25" t="s">
        <v>281</v>
      </c>
      <c r="AD46" s="3" t="s">
        <v>155</v>
      </c>
      <c r="AE46" s="105"/>
      <c r="AF46" s="109" t="str">
        <f t="shared" si="0"/>
        <v>M</v>
      </c>
      <c r="AG46" s="109" cm="1">
        <f t="array" ref="AG46">_xlfn.SWITCH(C46,"PTA12",2,"PTD1",2,"PTD0",3,"PTC16",1,"PTD5",1,"PTA5",2,"PTD6",2,"PTE8",2,(LEN(N46)+LEN(N46)-LEN(SUBSTITUTE(N46,"ADC",))-LEN(SUBSTITUTE(N46,"CMP",)))/3)</f>
        <v>1</v>
      </c>
      <c r="AH46" s="109" t="str">
        <f t="shared" si="1"/>
        <v>ILKG_33/50_M1</v>
      </c>
    </row>
    <row r="47" spans="1:34" x14ac:dyDescent="0.3">
      <c r="A47" s="88">
        <v>21</v>
      </c>
      <c r="B47" s="25">
        <v>45</v>
      </c>
      <c r="C47" s="25" t="s">
        <v>282</v>
      </c>
      <c r="D47" s="25" t="s">
        <v>283</v>
      </c>
      <c r="E47" s="25" t="s">
        <v>283</v>
      </c>
      <c r="F47" s="25" t="s">
        <v>271</v>
      </c>
      <c r="G47" s="25" t="s">
        <v>284</v>
      </c>
      <c r="H47" s="25" t="s">
        <v>41</v>
      </c>
      <c r="I47" s="25" t="s">
        <v>285</v>
      </c>
      <c r="J47" s="25" t="s">
        <v>126</v>
      </c>
      <c r="K47" s="25" t="s">
        <v>286</v>
      </c>
      <c r="L47" s="25" t="s">
        <v>260</v>
      </c>
      <c r="M47" s="27"/>
      <c r="N47" s="25" t="s">
        <v>287</v>
      </c>
      <c r="O47" s="27"/>
      <c r="P47" s="27"/>
      <c r="Q47" s="25" t="s">
        <v>284</v>
      </c>
      <c r="R47" s="25" t="s">
        <v>41</v>
      </c>
      <c r="S47" s="27"/>
      <c r="T47" s="25" t="s">
        <v>126</v>
      </c>
      <c r="U47" s="27"/>
      <c r="V47" s="25" t="s">
        <v>260</v>
      </c>
      <c r="W47" s="27"/>
      <c r="X47" s="25" t="s">
        <v>288</v>
      </c>
      <c r="Y47" s="25" t="s">
        <v>83</v>
      </c>
      <c r="Z47" s="27"/>
      <c r="AA47" s="27"/>
      <c r="AB47" s="27"/>
      <c r="AC47" s="25" t="s">
        <v>289</v>
      </c>
      <c r="AD47" s="3" t="s">
        <v>170</v>
      </c>
      <c r="AE47" s="105"/>
      <c r="AF47" s="109" t="str">
        <f t="shared" si="0"/>
        <v>SP</v>
      </c>
      <c r="AG47" s="109" cm="1">
        <f t="array" ref="AG47">_xlfn.SWITCH(C47,"PTA12",2,"PTD1",2,"PTD0",3,"PTC16",1,"PTD5",1,"PTA5",2,"PTD6",2,"PTE8",2,(LEN(N47)+LEN(N47)-LEN(SUBSTITUTE(N47,"ADC",))-LEN(SUBSTITUTE(N47,"CMP",)))/3)</f>
        <v>1</v>
      </c>
      <c r="AH47" s="109" t="str">
        <f t="shared" si="1"/>
        <v>ILKG_33/50_SP1</v>
      </c>
    </row>
    <row r="48" spans="1:34" x14ac:dyDescent="0.3">
      <c r="A48" s="88">
        <v>22</v>
      </c>
      <c r="B48" s="25">
        <v>46</v>
      </c>
      <c r="C48" s="25" t="s">
        <v>290</v>
      </c>
      <c r="D48" s="25" t="s">
        <v>291</v>
      </c>
      <c r="E48" s="25" t="s">
        <v>291</v>
      </c>
      <c r="F48" s="27"/>
      <c r="G48" s="25" t="s">
        <v>292</v>
      </c>
      <c r="H48" s="25" t="s">
        <v>76</v>
      </c>
      <c r="I48" s="25" t="s">
        <v>293</v>
      </c>
      <c r="J48" s="25" t="s">
        <v>294</v>
      </c>
      <c r="K48" s="25" t="s">
        <v>295</v>
      </c>
      <c r="L48" s="27"/>
      <c r="M48" s="27"/>
      <c r="N48" s="25" t="s">
        <v>296</v>
      </c>
      <c r="O48" s="27"/>
      <c r="P48" s="27"/>
      <c r="Q48" s="25" t="s">
        <v>292</v>
      </c>
      <c r="R48" s="25" t="s">
        <v>76</v>
      </c>
      <c r="S48" s="27"/>
      <c r="T48" s="25" t="s">
        <v>294</v>
      </c>
      <c r="U48" s="27"/>
      <c r="V48" s="27"/>
      <c r="W48" s="27"/>
      <c r="X48" s="25" t="s">
        <v>280</v>
      </c>
      <c r="Y48" s="25" t="s">
        <v>297</v>
      </c>
      <c r="Z48" s="25" t="s">
        <v>298</v>
      </c>
      <c r="AA48" s="27"/>
      <c r="AB48" s="27"/>
      <c r="AC48" s="25" t="s">
        <v>299</v>
      </c>
      <c r="AD48" s="3" t="s">
        <v>36</v>
      </c>
      <c r="AE48" s="104"/>
      <c r="AF48" s="109" t="str">
        <f t="shared" si="0"/>
        <v>S</v>
      </c>
      <c r="AG48" s="109" cm="1">
        <f t="array" ref="AG48">_xlfn.SWITCH(C48,"PTA12",2,"PTD1",2,"PTD0",3,"PTC16",1,"PTD5",1,"PTA5",2,"PTD6",2,"PTE8",2,(LEN(N48)+LEN(N48)-LEN(SUBSTITUTE(N48,"ADC",))-LEN(SUBSTITUTE(N48,"CMP",)))/3)</f>
        <v>1</v>
      </c>
      <c r="AH48" s="109" t="str">
        <f t="shared" si="1"/>
        <v>ILKG_33/50_S1</v>
      </c>
    </row>
    <row r="49" spans="1:34" x14ac:dyDescent="0.3">
      <c r="A49" s="88">
        <v>23</v>
      </c>
      <c r="B49" s="25">
        <v>47</v>
      </c>
      <c r="C49" s="25" t="s">
        <v>300</v>
      </c>
      <c r="D49" s="25" t="s">
        <v>301</v>
      </c>
      <c r="E49" s="25" t="s">
        <v>301</v>
      </c>
      <c r="F49" s="27"/>
      <c r="G49" s="25" t="s">
        <v>302</v>
      </c>
      <c r="H49" s="25" t="s">
        <v>303</v>
      </c>
      <c r="I49" s="25" t="s">
        <v>304</v>
      </c>
      <c r="J49" s="27"/>
      <c r="K49" s="25" t="s">
        <v>305</v>
      </c>
      <c r="L49" s="27"/>
      <c r="M49" s="27"/>
      <c r="N49" s="27"/>
      <c r="O49" s="27"/>
      <c r="P49" s="27"/>
      <c r="Q49" s="25" t="s">
        <v>302</v>
      </c>
      <c r="R49" s="25" t="s">
        <v>303</v>
      </c>
      <c r="S49" s="27"/>
      <c r="T49" s="27"/>
      <c r="U49" s="27"/>
      <c r="V49" s="27"/>
      <c r="W49" s="27"/>
      <c r="X49" s="25" t="s">
        <v>129</v>
      </c>
      <c r="Y49" s="25" t="s">
        <v>306</v>
      </c>
      <c r="Z49" s="27"/>
      <c r="AA49" s="27"/>
      <c r="AB49" s="27"/>
      <c r="AC49" s="25" t="s">
        <v>307</v>
      </c>
      <c r="AD49" s="3" t="s">
        <v>36</v>
      </c>
      <c r="AE49" s="104" t="s">
        <v>308</v>
      </c>
      <c r="AF49" s="109" t="str">
        <f t="shared" si="0"/>
        <v>S</v>
      </c>
      <c r="AG49" s="109" cm="1">
        <f t="array" ref="AG49">_xlfn.SWITCH(C49,"PTA12",2,"PTD1",2,"PTD0",3,"PTC16",1,"PTD5",1,"PTA5",2,"PTD6",2,"PTE8",2,(LEN(N49)+LEN(N49)-LEN(SUBSTITUTE(N49,"ADC",))-LEN(SUBSTITUTE(N49,"CMP",)))/3)</f>
        <v>0</v>
      </c>
      <c r="AH49" s="109" t="str">
        <f t="shared" si="1"/>
        <v>ILKG_33/50_S0</v>
      </c>
    </row>
    <row r="50" spans="1:34" x14ac:dyDescent="0.3">
      <c r="A50" s="88">
        <v>24</v>
      </c>
      <c r="B50" s="25">
        <v>48</v>
      </c>
      <c r="C50" s="25" t="s">
        <v>309</v>
      </c>
      <c r="D50" s="25" t="s">
        <v>310</v>
      </c>
      <c r="E50" s="25" t="s">
        <v>310</v>
      </c>
      <c r="F50" s="25" t="s">
        <v>311</v>
      </c>
      <c r="G50" s="25" t="s">
        <v>312</v>
      </c>
      <c r="H50" s="25" t="s">
        <v>27</v>
      </c>
      <c r="I50" s="27"/>
      <c r="J50" s="25" t="s">
        <v>313</v>
      </c>
      <c r="K50" s="27"/>
      <c r="L50" s="27"/>
      <c r="M50" s="27"/>
      <c r="N50" s="25" t="s">
        <v>314</v>
      </c>
      <c r="O50" s="27"/>
      <c r="P50" s="27"/>
      <c r="Q50" s="25" t="s">
        <v>312</v>
      </c>
      <c r="R50" s="25" t="s">
        <v>27</v>
      </c>
      <c r="S50" s="27"/>
      <c r="T50" s="27"/>
      <c r="U50" s="27"/>
      <c r="V50" s="27"/>
      <c r="W50" s="27"/>
      <c r="X50" s="25" t="s">
        <v>82</v>
      </c>
      <c r="Y50" s="25" t="s">
        <v>315</v>
      </c>
      <c r="Z50" s="27"/>
      <c r="AA50" s="27"/>
      <c r="AB50" s="27"/>
      <c r="AC50" s="25" t="s">
        <v>316</v>
      </c>
      <c r="AD50" s="3" t="s">
        <v>36</v>
      </c>
      <c r="AE50" s="104" t="s">
        <v>308</v>
      </c>
      <c r="AF50" s="109" t="str">
        <f t="shared" si="0"/>
        <v>S</v>
      </c>
      <c r="AG50" s="109" cm="1">
        <f t="array" ref="AG50">_xlfn.SWITCH(C50,"PTA12",2,"PTD1",2,"PTD0",3,"PTC16",1,"PTD5",1,"PTA5",2,"PTD6",2,"PTE8",2,(LEN(N50)+LEN(N50)-LEN(SUBSTITUTE(N50,"ADC",))-LEN(SUBSTITUTE(N50,"CMP",)))/3)</f>
        <v>0</v>
      </c>
      <c r="AH50" s="109" t="str">
        <f t="shared" si="1"/>
        <v>ILKG_33/50_S0</v>
      </c>
    </row>
    <row r="51" spans="1:34" x14ac:dyDescent="0.3">
      <c r="A51" s="87"/>
      <c r="B51" s="25">
        <v>49</v>
      </c>
      <c r="C51" s="25" t="s">
        <v>317</v>
      </c>
      <c r="D51" s="25" t="s">
        <v>318</v>
      </c>
      <c r="E51" s="25" t="s">
        <v>318</v>
      </c>
      <c r="F51" s="27"/>
      <c r="G51" s="25" t="s">
        <v>319</v>
      </c>
      <c r="H51" s="25" t="s">
        <v>28</v>
      </c>
      <c r="I51" s="25" t="s">
        <v>320</v>
      </c>
      <c r="J51" s="27"/>
      <c r="K51" s="25" t="s">
        <v>321</v>
      </c>
      <c r="L51" s="27"/>
      <c r="M51" s="27"/>
      <c r="N51" s="27"/>
      <c r="O51" s="27"/>
      <c r="P51" s="27"/>
      <c r="Q51" s="25" t="s">
        <v>319</v>
      </c>
      <c r="R51" s="25" t="s">
        <v>28</v>
      </c>
      <c r="S51" s="27"/>
      <c r="T51" s="27"/>
      <c r="U51" s="27"/>
      <c r="V51" s="27"/>
      <c r="W51" s="27"/>
      <c r="X51" s="25" t="s">
        <v>322</v>
      </c>
      <c r="Y51" s="27"/>
      <c r="Z51" s="27"/>
      <c r="AA51" s="27"/>
      <c r="AB51" s="27"/>
      <c r="AC51" s="25" t="s">
        <v>323</v>
      </c>
      <c r="AD51" s="3" t="s">
        <v>36</v>
      </c>
      <c r="AE51" s="105"/>
      <c r="AF51" s="109" t="str">
        <f t="shared" si="0"/>
        <v>S</v>
      </c>
      <c r="AG51" s="109" cm="1">
        <f t="array" ref="AG51">_xlfn.SWITCH(C51,"PTA12",2,"PTD1",2,"PTD0",3,"PTC16",1,"PTD5",1,"PTA5",2,"PTD6",2,"PTE8",2,(LEN(N51)+LEN(N51)-LEN(SUBSTITUTE(N51,"ADC",))-LEN(SUBSTITUTE(N51,"CMP",)))/3)</f>
        <v>0</v>
      </c>
      <c r="AH51" s="109" t="str">
        <f t="shared" si="1"/>
        <v>ILKG_33/50_S0</v>
      </c>
    </row>
    <row r="52" spans="1:34" x14ac:dyDescent="0.3">
      <c r="A52" s="87"/>
      <c r="B52" s="25">
        <v>50</v>
      </c>
      <c r="C52" s="25" t="s">
        <v>324</v>
      </c>
      <c r="D52" s="25" t="s">
        <v>325</v>
      </c>
      <c r="E52" s="25" t="s">
        <v>325</v>
      </c>
      <c r="F52" s="25" t="s">
        <v>326</v>
      </c>
      <c r="G52" s="25" t="s">
        <v>327</v>
      </c>
      <c r="H52" s="25" t="s">
        <v>42</v>
      </c>
      <c r="I52" s="25" t="s">
        <v>88</v>
      </c>
      <c r="J52" s="27"/>
      <c r="K52" s="25" t="s">
        <v>328</v>
      </c>
      <c r="L52" s="27"/>
      <c r="M52" s="27"/>
      <c r="N52" s="27"/>
      <c r="O52" s="27"/>
      <c r="P52" s="27"/>
      <c r="Q52" s="25" t="s">
        <v>327</v>
      </c>
      <c r="R52" s="25" t="s">
        <v>42</v>
      </c>
      <c r="S52" s="25" t="s">
        <v>88</v>
      </c>
      <c r="T52" s="27"/>
      <c r="U52" s="27"/>
      <c r="V52" s="27"/>
      <c r="W52" s="27"/>
      <c r="X52" s="25" t="s">
        <v>329</v>
      </c>
      <c r="Y52" s="27"/>
      <c r="Z52" s="27"/>
      <c r="AA52" s="27"/>
      <c r="AB52" s="27"/>
      <c r="AC52" s="25" t="s">
        <v>330</v>
      </c>
      <c r="AD52" s="3" t="s">
        <v>36</v>
      </c>
      <c r="AE52" s="104" t="s">
        <v>308</v>
      </c>
      <c r="AF52" s="109" t="str">
        <f t="shared" si="0"/>
        <v>S</v>
      </c>
      <c r="AG52" s="109" cm="1">
        <f t="array" ref="AG52">_xlfn.SWITCH(C52,"PTA12",2,"PTD1",2,"PTD0",3,"PTC16",1,"PTD5",1,"PTA5",2,"PTD6",2,"PTE8",2,(LEN(N52)+LEN(N52)-LEN(SUBSTITUTE(N52,"ADC",))-LEN(SUBSTITUTE(N52,"CMP",)))/3)</f>
        <v>0</v>
      </c>
      <c r="AH52" s="109" t="str">
        <f t="shared" si="1"/>
        <v>ILKG_33/50_S0</v>
      </c>
    </row>
    <row r="53" spans="1:34" x14ac:dyDescent="0.3">
      <c r="A53" s="87"/>
      <c r="B53" s="25">
        <v>51</v>
      </c>
      <c r="C53" s="25" t="s">
        <v>331</v>
      </c>
      <c r="D53" s="25" t="s">
        <v>332</v>
      </c>
      <c r="E53" s="25" t="s">
        <v>332</v>
      </c>
      <c r="F53" s="27"/>
      <c r="G53" s="25" t="s">
        <v>333</v>
      </c>
      <c r="H53" s="25" t="s">
        <v>334</v>
      </c>
      <c r="I53" s="25" t="s">
        <v>233</v>
      </c>
      <c r="J53" s="27"/>
      <c r="K53" s="27"/>
      <c r="L53" s="25" t="s">
        <v>335</v>
      </c>
      <c r="M53" s="25" t="s">
        <v>336</v>
      </c>
      <c r="N53" s="25" t="s">
        <v>337</v>
      </c>
      <c r="O53" s="27"/>
      <c r="P53" s="27"/>
      <c r="Q53" s="27"/>
      <c r="R53" s="25" t="s">
        <v>334</v>
      </c>
      <c r="S53" s="25" t="s">
        <v>233</v>
      </c>
      <c r="T53" s="27"/>
      <c r="U53" s="27"/>
      <c r="V53" s="27"/>
      <c r="W53" s="27"/>
      <c r="X53" s="25" t="s">
        <v>338</v>
      </c>
      <c r="Y53" s="25" t="s">
        <v>339</v>
      </c>
      <c r="Z53" s="27"/>
      <c r="AA53" s="27"/>
      <c r="AB53" s="27"/>
      <c r="AC53" s="25" t="s">
        <v>340</v>
      </c>
      <c r="AD53" s="3" t="s">
        <v>36</v>
      </c>
      <c r="AE53" s="104" t="s">
        <v>73</v>
      </c>
      <c r="AF53" s="109" t="str">
        <f t="shared" si="0"/>
        <v>S</v>
      </c>
      <c r="AG53" s="109" cm="1">
        <f t="array" ref="AG53">_xlfn.SWITCH(C53,"PTA12",2,"PTD1",2,"PTD0",3,"PTC16",1,"PTD5",1,"PTA5",2,"PTD6",2,"PTE8",2,(LEN(N53)+LEN(N53)-LEN(SUBSTITUTE(N53,"ADC",))-LEN(SUBSTITUTE(N53,"CMP",)))/3)</f>
        <v>1</v>
      </c>
      <c r="AH53" s="109" t="str">
        <f t="shared" si="1"/>
        <v>ILKG_33/50_S1</v>
      </c>
    </row>
    <row r="54" spans="1:34" x14ac:dyDescent="0.3">
      <c r="A54" s="87"/>
      <c r="B54" s="25">
        <v>52</v>
      </c>
      <c r="C54" s="25" t="s">
        <v>341</v>
      </c>
      <c r="D54" s="25" t="s">
        <v>342</v>
      </c>
      <c r="E54" s="25" t="s">
        <v>342</v>
      </c>
      <c r="F54" s="25" t="s">
        <v>181</v>
      </c>
      <c r="G54" s="27"/>
      <c r="H54" s="27"/>
      <c r="I54" s="25" t="s">
        <v>88</v>
      </c>
      <c r="J54" s="27"/>
      <c r="K54" s="25" t="s">
        <v>343</v>
      </c>
      <c r="L54" s="25" t="s">
        <v>344</v>
      </c>
      <c r="M54" s="25" t="s">
        <v>345</v>
      </c>
      <c r="N54" s="25" t="s">
        <v>346</v>
      </c>
      <c r="O54" s="27"/>
      <c r="P54" s="25" t="s">
        <v>181</v>
      </c>
      <c r="Q54" s="27"/>
      <c r="R54" s="27"/>
      <c r="S54" s="25" t="s">
        <v>88</v>
      </c>
      <c r="T54" s="27"/>
      <c r="U54" s="27"/>
      <c r="V54" s="25" t="s">
        <v>344</v>
      </c>
      <c r="W54" s="27"/>
      <c r="X54" s="25" t="s">
        <v>347</v>
      </c>
      <c r="Y54" s="25" t="s">
        <v>348</v>
      </c>
      <c r="Z54" s="25" t="s">
        <v>349</v>
      </c>
      <c r="AA54" s="27"/>
      <c r="AB54" s="27"/>
      <c r="AC54" s="25" t="s">
        <v>350</v>
      </c>
      <c r="AD54" s="3" t="s">
        <v>36</v>
      </c>
      <c r="AE54" s="104" t="s">
        <v>308</v>
      </c>
      <c r="AF54" s="109" t="str">
        <f t="shared" si="0"/>
        <v>S</v>
      </c>
      <c r="AG54" s="109" cm="1">
        <f t="array" ref="AG54">_xlfn.SWITCH(C54,"PTA12",2,"PTD1",2,"PTD0",3,"PTC16",1,"PTD5",1,"PTA5",2,"PTD6",2,"PTE8",2,(LEN(N54)+LEN(N54)-LEN(SUBSTITUTE(N54,"ADC",))-LEN(SUBSTITUTE(N54,"CMP",)))/3)</f>
        <v>1</v>
      </c>
      <c r="AH54" s="109" t="str">
        <f t="shared" si="1"/>
        <v>ILKG_33/50_S1</v>
      </c>
    </row>
    <row r="55" spans="1:34" x14ac:dyDescent="0.3">
      <c r="A55" s="88">
        <v>25</v>
      </c>
      <c r="B55" s="25">
        <v>53</v>
      </c>
      <c r="C55" s="25" t="s">
        <v>351</v>
      </c>
      <c r="D55" s="25" t="s">
        <v>352</v>
      </c>
      <c r="E55" s="25" t="s">
        <v>352</v>
      </c>
      <c r="F55" s="25" t="s">
        <v>353</v>
      </c>
      <c r="G55" s="25" t="s">
        <v>205</v>
      </c>
      <c r="H55" s="25" t="s">
        <v>198</v>
      </c>
      <c r="I55" s="25" t="s">
        <v>158</v>
      </c>
      <c r="J55" s="25" t="s">
        <v>204</v>
      </c>
      <c r="K55" s="25" t="s">
        <v>97</v>
      </c>
      <c r="L55" s="25" t="s">
        <v>354</v>
      </c>
      <c r="M55" s="27"/>
      <c r="N55" s="25" t="s">
        <v>355</v>
      </c>
      <c r="O55" s="27"/>
      <c r="P55" s="25" t="s">
        <v>353</v>
      </c>
      <c r="Q55" s="25" t="s">
        <v>205</v>
      </c>
      <c r="R55" s="25" t="s">
        <v>198</v>
      </c>
      <c r="S55" s="25" t="s">
        <v>158</v>
      </c>
      <c r="T55" s="27"/>
      <c r="U55" s="25" t="s">
        <v>97</v>
      </c>
      <c r="V55" s="27"/>
      <c r="W55" s="27"/>
      <c r="X55" s="25" t="s">
        <v>59</v>
      </c>
      <c r="Y55" s="25" t="s">
        <v>356</v>
      </c>
      <c r="Z55" s="27"/>
      <c r="AA55" s="27"/>
      <c r="AB55" s="27"/>
      <c r="AC55" s="25" t="s">
        <v>357</v>
      </c>
      <c r="AD55" s="3" t="s">
        <v>170</v>
      </c>
      <c r="AE55" s="104" t="s">
        <v>73</v>
      </c>
      <c r="AF55" s="109" t="str">
        <f t="shared" si="0"/>
        <v>SP</v>
      </c>
      <c r="AG55" s="109" cm="1">
        <f t="array" ref="AG55">_xlfn.SWITCH(C55,"PTA12",2,"PTD1",2,"PTD0",3,"PTC16",1,"PTD5",1,"PTA5",2,"PTD6",2,"PTE8",2,(LEN(N55)+LEN(N55)-LEN(SUBSTITUTE(N55,"ADC",))-LEN(SUBSTITUTE(N55,"CMP",)))/3)</f>
        <v>2</v>
      </c>
      <c r="AH55" s="109" t="str">
        <f t="shared" si="1"/>
        <v>ILKG_33/50_SP2</v>
      </c>
    </row>
    <row r="56" spans="1:34" x14ac:dyDescent="0.3">
      <c r="A56" s="88">
        <v>26</v>
      </c>
      <c r="B56" s="25">
        <v>54</v>
      </c>
      <c r="C56" s="25" t="s">
        <v>358</v>
      </c>
      <c r="D56" s="25" t="s">
        <v>359</v>
      </c>
      <c r="E56" s="25" t="s">
        <v>359</v>
      </c>
      <c r="F56" s="25" t="s">
        <v>360</v>
      </c>
      <c r="G56" s="25" t="s">
        <v>273</v>
      </c>
      <c r="H56" s="25" t="s">
        <v>190</v>
      </c>
      <c r="I56" s="25" t="s">
        <v>53</v>
      </c>
      <c r="J56" s="25" t="s">
        <v>361</v>
      </c>
      <c r="K56" s="25" t="s">
        <v>362</v>
      </c>
      <c r="L56" s="25" t="s">
        <v>363</v>
      </c>
      <c r="M56" s="27"/>
      <c r="N56" s="25" t="s">
        <v>364</v>
      </c>
      <c r="O56" s="27"/>
      <c r="P56" s="25" t="s">
        <v>360</v>
      </c>
      <c r="Q56" s="25" t="s">
        <v>273</v>
      </c>
      <c r="R56" s="25" t="s">
        <v>190</v>
      </c>
      <c r="S56" s="25" t="s">
        <v>53</v>
      </c>
      <c r="T56" s="27"/>
      <c r="U56" s="25" t="s">
        <v>362</v>
      </c>
      <c r="V56" s="27"/>
      <c r="W56" s="27"/>
      <c r="X56" s="25" t="s">
        <v>214</v>
      </c>
      <c r="Y56" s="25" t="s">
        <v>70</v>
      </c>
      <c r="Z56" s="25" t="s">
        <v>217</v>
      </c>
      <c r="AA56" s="27"/>
      <c r="AB56" s="27"/>
      <c r="AC56" s="25" t="s">
        <v>365</v>
      </c>
      <c r="AD56" s="3" t="s">
        <v>170</v>
      </c>
      <c r="AE56" s="104" t="s">
        <v>73</v>
      </c>
      <c r="AF56" s="109" t="str">
        <f t="shared" si="0"/>
        <v>SP</v>
      </c>
      <c r="AG56" s="109" cm="1">
        <f t="array" ref="AG56">_xlfn.SWITCH(C56,"PTA12",2,"PTD1",2,"PTD0",3,"PTC16",1,"PTD5",1,"PTA5",2,"PTD6",2,"PTE8",2,(LEN(N56)+LEN(N56)-LEN(SUBSTITUTE(N56,"ADC",))-LEN(SUBSTITUTE(N56,"CMP",)))/3)</f>
        <v>2</v>
      </c>
      <c r="AH56" s="109" t="str">
        <f t="shared" si="1"/>
        <v>ILKG_33/50_SP2</v>
      </c>
    </row>
    <row r="57" spans="1:34" x14ac:dyDescent="0.3">
      <c r="A57" s="88">
        <v>27</v>
      </c>
      <c r="B57" s="25">
        <v>55</v>
      </c>
      <c r="C57" s="25" t="s">
        <v>366</v>
      </c>
      <c r="D57" s="25" t="s">
        <v>367</v>
      </c>
      <c r="E57" s="25" t="s">
        <v>367</v>
      </c>
      <c r="F57" s="25" t="s">
        <v>173</v>
      </c>
      <c r="G57" s="25" t="s">
        <v>165</v>
      </c>
      <c r="H57" s="25" t="s">
        <v>368</v>
      </c>
      <c r="I57" s="25" t="s">
        <v>369</v>
      </c>
      <c r="J57" s="25" t="s">
        <v>370</v>
      </c>
      <c r="K57" s="25" t="s">
        <v>141</v>
      </c>
      <c r="L57" s="25" t="s">
        <v>228</v>
      </c>
      <c r="M57" s="27"/>
      <c r="N57" s="25" t="s">
        <v>371</v>
      </c>
      <c r="O57" s="27"/>
      <c r="P57" s="25" t="s">
        <v>173</v>
      </c>
      <c r="Q57" s="25" t="s">
        <v>165</v>
      </c>
      <c r="R57" s="27"/>
      <c r="S57" s="25" t="s">
        <v>369</v>
      </c>
      <c r="T57" s="27"/>
      <c r="U57" s="25" t="s">
        <v>141</v>
      </c>
      <c r="V57" s="25" t="s">
        <v>228</v>
      </c>
      <c r="W57" s="27"/>
      <c r="X57" s="25" t="s">
        <v>215</v>
      </c>
      <c r="Y57" s="25" t="s">
        <v>372</v>
      </c>
      <c r="Z57" s="27"/>
      <c r="AA57" s="27"/>
      <c r="AB57" s="27"/>
      <c r="AC57" s="25" t="s">
        <v>373</v>
      </c>
      <c r="AD57" s="3" t="s">
        <v>170</v>
      </c>
      <c r="AE57" s="104" t="s">
        <v>73</v>
      </c>
      <c r="AF57" s="109" t="str">
        <f t="shared" si="0"/>
        <v>SP</v>
      </c>
      <c r="AG57" s="109" cm="1">
        <f t="array" ref="AG57">_xlfn.SWITCH(C57,"PTA12",2,"PTD1",2,"PTD0",3,"PTC16",1,"PTD5",1,"PTA5",2,"PTD6",2,"PTE8",2,(LEN(N57)+LEN(N57)-LEN(SUBSTITUTE(N57,"ADC",))-LEN(SUBSTITUTE(N57,"CMP",)))/3)</f>
        <v>1</v>
      </c>
      <c r="AH57" s="109" t="str">
        <f t="shared" si="1"/>
        <v>ILKG_33/50_SP1</v>
      </c>
    </row>
    <row r="58" spans="1:34" x14ac:dyDescent="0.3">
      <c r="A58" s="88">
        <v>28</v>
      </c>
      <c r="B58" s="25">
        <v>56</v>
      </c>
      <c r="C58" s="25" t="s">
        <v>374</v>
      </c>
      <c r="D58" s="25" t="s">
        <v>375</v>
      </c>
      <c r="E58" s="25" t="s">
        <v>375</v>
      </c>
      <c r="F58" s="25" t="s">
        <v>166</v>
      </c>
      <c r="G58" s="27"/>
      <c r="H58" s="25" t="s">
        <v>206</v>
      </c>
      <c r="I58" s="25" t="s">
        <v>277</v>
      </c>
      <c r="J58" s="25" t="s">
        <v>376</v>
      </c>
      <c r="K58" s="25" t="s">
        <v>149</v>
      </c>
      <c r="L58" s="25" t="s">
        <v>182</v>
      </c>
      <c r="M58" s="27"/>
      <c r="N58" s="25" t="s">
        <v>296</v>
      </c>
      <c r="O58" s="27"/>
      <c r="P58" s="25" t="s">
        <v>166</v>
      </c>
      <c r="Q58" s="27"/>
      <c r="R58" s="27"/>
      <c r="S58" s="25" t="s">
        <v>277</v>
      </c>
      <c r="T58" s="27"/>
      <c r="U58" s="25" t="s">
        <v>149</v>
      </c>
      <c r="V58" s="25" t="s">
        <v>182</v>
      </c>
      <c r="W58" s="27"/>
      <c r="X58" s="25" t="s">
        <v>377</v>
      </c>
      <c r="Y58" s="25" t="s">
        <v>378</v>
      </c>
      <c r="Z58" s="25" t="s">
        <v>176</v>
      </c>
      <c r="AA58" s="27"/>
      <c r="AB58" s="27"/>
      <c r="AC58" s="25" t="s">
        <v>379</v>
      </c>
      <c r="AD58" s="3" t="s">
        <v>170</v>
      </c>
      <c r="AE58" s="104" t="s">
        <v>37</v>
      </c>
      <c r="AF58" s="109" t="str">
        <f t="shared" si="0"/>
        <v>SP</v>
      </c>
      <c r="AG58" s="109" cm="1">
        <f t="array" ref="AG58">_xlfn.SWITCH(C58,"PTA12",2,"PTD1",2,"PTD0",3,"PTC16",1,"PTD5",1,"PTA5",2,"PTD6",2,"PTE8",2,(LEN(N58)+LEN(N58)-LEN(SUBSTITUTE(N58,"ADC",))-LEN(SUBSTITUTE(N58,"CMP",)))/3)</f>
        <v>1</v>
      </c>
      <c r="AH58" s="109" t="str">
        <f t="shared" si="1"/>
        <v>ILKG_33/50_SP1</v>
      </c>
    </row>
    <row r="59" spans="1:34" x14ac:dyDescent="0.3">
      <c r="A59" s="88">
        <v>29</v>
      </c>
      <c r="B59" s="25">
        <v>57</v>
      </c>
      <c r="C59" s="25" t="s">
        <v>380</v>
      </c>
      <c r="D59" s="25" t="s">
        <v>381</v>
      </c>
      <c r="E59" s="25" t="s">
        <v>381</v>
      </c>
      <c r="F59" s="25" t="s">
        <v>26</v>
      </c>
      <c r="G59" s="25" t="s">
        <v>189</v>
      </c>
      <c r="H59" s="25" t="s">
        <v>191</v>
      </c>
      <c r="I59" s="25" t="s">
        <v>204</v>
      </c>
      <c r="J59" s="25" t="s">
        <v>29</v>
      </c>
      <c r="K59" s="25" t="s">
        <v>135</v>
      </c>
      <c r="L59" s="27"/>
      <c r="M59" s="27"/>
      <c r="N59" s="25" t="s">
        <v>382</v>
      </c>
      <c r="O59" s="27"/>
      <c r="P59" s="25" t="s">
        <v>26</v>
      </c>
      <c r="Q59" s="25" t="s">
        <v>189</v>
      </c>
      <c r="R59" s="25" t="s">
        <v>191</v>
      </c>
      <c r="S59" s="27"/>
      <c r="T59" s="27"/>
      <c r="U59" s="25" t="s">
        <v>135</v>
      </c>
      <c r="V59" s="27"/>
      <c r="W59" s="27"/>
      <c r="X59" s="25" t="s">
        <v>184</v>
      </c>
      <c r="Y59" s="25" t="s">
        <v>383</v>
      </c>
      <c r="Z59" s="27"/>
      <c r="AA59" s="27"/>
      <c r="AB59" s="27"/>
      <c r="AC59" s="25" t="s">
        <v>384</v>
      </c>
      <c r="AD59" s="3" t="s">
        <v>170</v>
      </c>
      <c r="AE59" s="104" t="s">
        <v>73</v>
      </c>
      <c r="AF59" s="109" t="str">
        <f t="shared" si="0"/>
        <v>SP</v>
      </c>
      <c r="AG59" s="109" cm="1">
        <f t="array" ref="AG59">_xlfn.SWITCH(C59,"PTA12",2,"PTD1",2,"PTD0",3,"PTC16",1,"PTD5",1,"PTA5",2,"PTD6",2,"PTE8",2,(LEN(N59)+LEN(N59)-LEN(SUBSTITUTE(N59,"ADC",))-LEN(SUBSTITUTE(N59,"CMP",)))/3)</f>
        <v>1</v>
      </c>
      <c r="AH59" s="109" t="str">
        <f t="shared" si="1"/>
        <v>ILKG_33/50_SP1</v>
      </c>
    </row>
    <row r="60" spans="1:34" x14ac:dyDescent="0.3">
      <c r="A60" s="87"/>
      <c r="B60" s="25">
        <v>58</v>
      </c>
      <c r="C60" s="25" t="s">
        <v>385</v>
      </c>
      <c r="D60" s="25" t="s">
        <v>386</v>
      </c>
      <c r="E60" s="25" t="s">
        <v>386</v>
      </c>
      <c r="F60" s="27"/>
      <c r="G60" s="27"/>
      <c r="H60" s="25" t="s">
        <v>387</v>
      </c>
      <c r="I60" s="25" t="s">
        <v>159</v>
      </c>
      <c r="J60" s="27"/>
      <c r="K60" s="25" t="s">
        <v>180</v>
      </c>
      <c r="L60" s="27"/>
      <c r="M60" s="27"/>
      <c r="N60" s="25" t="s">
        <v>388</v>
      </c>
      <c r="O60" s="27"/>
      <c r="P60" s="27"/>
      <c r="Q60" s="27"/>
      <c r="R60" s="25" t="s">
        <v>387</v>
      </c>
      <c r="S60" s="25" t="s">
        <v>159</v>
      </c>
      <c r="T60" s="27"/>
      <c r="U60" s="25" t="s">
        <v>180</v>
      </c>
      <c r="V60" s="27"/>
      <c r="W60" s="27"/>
      <c r="X60" s="25" t="s">
        <v>214</v>
      </c>
      <c r="Y60" s="25" t="s">
        <v>389</v>
      </c>
      <c r="Z60" s="25" t="s">
        <v>390</v>
      </c>
      <c r="AA60" s="25" t="s">
        <v>48</v>
      </c>
      <c r="AB60" s="25" t="s">
        <v>49</v>
      </c>
      <c r="AC60" s="25" t="s">
        <v>391</v>
      </c>
      <c r="AD60" s="3" t="s">
        <v>36</v>
      </c>
      <c r="AE60" s="104" t="s">
        <v>73</v>
      </c>
      <c r="AF60" s="109" t="str">
        <f t="shared" si="0"/>
        <v>S</v>
      </c>
      <c r="AG60" s="109" cm="1">
        <f t="array" ref="AG60">_xlfn.SWITCH(C60,"PTA12",2,"PTD1",2,"PTD0",3,"PTC16",1,"PTD5",1,"PTA5",2,"PTD6",2,"PTE8",2,(LEN(N60)+LEN(N60)-LEN(SUBSTITUTE(N60,"ADC",))-LEN(SUBSTITUTE(N60,"CMP",)))/3)</f>
        <v>2</v>
      </c>
      <c r="AH60" s="109" t="str">
        <f t="shared" si="1"/>
        <v>ILKG_33/50_S2</v>
      </c>
    </row>
    <row r="61" spans="1:34" x14ac:dyDescent="0.3">
      <c r="A61" s="87"/>
      <c r="B61" s="25">
        <v>59</v>
      </c>
      <c r="C61" s="25" t="s">
        <v>392</v>
      </c>
      <c r="D61" s="25" t="s">
        <v>393</v>
      </c>
      <c r="E61" s="25" t="s">
        <v>393</v>
      </c>
      <c r="F61" s="27"/>
      <c r="G61" s="25" t="s">
        <v>158</v>
      </c>
      <c r="H61" s="27"/>
      <c r="I61" s="27"/>
      <c r="J61" s="27"/>
      <c r="K61" s="25" t="s">
        <v>54</v>
      </c>
      <c r="L61" s="25" t="s">
        <v>160</v>
      </c>
      <c r="M61" s="27"/>
      <c r="N61" s="27"/>
      <c r="O61" s="27"/>
      <c r="P61" s="27"/>
      <c r="Q61" s="25" t="s">
        <v>158</v>
      </c>
      <c r="R61" s="27"/>
      <c r="S61" s="27"/>
      <c r="T61" s="27"/>
      <c r="U61" s="25" t="s">
        <v>54</v>
      </c>
      <c r="V61" s="25" t="s">
        <v>160</v>
      </c>
      <c r="W61" s="27"/>
      <c r="X61" s="27"/>
      <c r="Y61" s="27"/>
      <c r="Z61" s="27"/>
      <c r="AA61" s="27"/>
      <c r="AB61" s="27"/>
      <c r="AC61" s="25" t="s">
        <v>394</v>
      </c>
      <c r="AD61" s="3" t="s">
        <v>36</v>
      </c>
      <c r="AE61" s="104" t="s">
        <v>308</v>
      </c>
      <c r="AF61" s="109" t="str">
        <f t="shared" si="0"/>
        <v>S</v>
      </c>
      <c r="AG61" s="109" cm="1">
        <f t="array" ref="AG61">_xlfn.SWITCH(C61,"PTA12",2,"PTD1",2,"PTD0",3,"PTC16",1,"PTD5",1,"PTA5",2,"PTD6",2,"PTE8",2,(LEN(N61)+LEN(N61)-LEN(SUBSTITUTE(N61,"ADC",))-LEN(SUBSTITUTE(N61,"CMP",)))/3)</f>
        <v>0</v>
      </c>
      <c r="AH61" s="109" t="str">
        <f t="shared" si="1"/>
        <v>ILKG_33/50_S0</v>
      </c>
    </row>
    <row r="62" spans="1:34" x14ac:dyDescent="0.3">
      <c r="A62" s="87"/>
      <c r="B62" s="25">
        <v>60</v>
      </c>
      <c r="C62" s="25" t="s">
        <v>111</v>
      </c>
      <c r="D62" s="25" t="s">
        <v>111</v>
      </c>
      <c r="E62" s="27"/>
      <c r="F62" s="27"/>
      <c r="G62" s="27"/>
      <c r="H62" s="27"/>
      <c r="I62" s="27"/>
      <c r="J62" s="27"/>
      <c r="K62" s="27"/>
      <c r="L62" s="27"/>
      <c r="M62" s="27"/>
      <c r="N62" s="25" t="s">
        <v>111</v>
      </c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5" t="s">
        <v>111</v>
      </c>
      <c r="AD62" s="3" t="s">
        <v>108</v>
      </c>
      <c r="AE62" s="105"/>
      <c r="AF62" s="109" t="b">
        <f t="shared" si="0"/>
        <v>0</v>
      </c>
      <c r="AG62" s="109" cm="1">
        <f t="array" ref="AG62">_xlfn.SWITCH(C62,"PTA12",2,"PTD1",2,"PTD0",3,"PTC16",1,"PTD5",1,"PTA5",2,"PTD6",2,"PTE8",2,(LEN(N62)+LEN(N62)-LEN(SUBSTITUTE(N62,"ADC",))-LEN(SUBSTITUTE(N62,"CMP",)))/3)</f>
        <v>0</v>
      </c>
      <c r="AH62" s="109" t="str">
        <f t="shared" si="1"/>
        <v/>
      </c>
    </row>
    <row r="63" spans="1:34" x14ac:dyDescent="0.3">
      <c r="A63" s="88">
        <v>30</v>
      </c>
      <c r="B63" s="25">
        <v>61</v>
      </c>
      <c r="C63" s="25" t="s">
        <v>109</v>
      </c>
      <c r="D63" s="25" t="s">
        <v>109</v>
      </c>
      <c r="E63" s="27"/>
      <c r="F63" s="27"/>
      <c r="G63" s="27"/>
      <c r="H63" s="27"/>
      <c r="I63" s="27"/>
      <c r="J63" s="27"/>
      <c r="K63" s="27"/>
      <c r="L63" s="27"/>
      <c r="M63" s="27"/>
      <c r="N63" s="25" t="s">
        <v>109</v>
      </c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5" t="s">
        <v>109</v>
      </c>
      <c r="AD63" s="3" t="s">
        <v>110</v>
      </c>
      <c r="AE63" s="105"/>
      <c r="AF63" s="109" t="b">
        <f t="shared" si="0"/>
        <v>0</v>
      </c>
      <c r="AG63" s="109" cm="1">
        <f t="array" ref="AG63">_xlfn.SWITCH(C63,"PTA12",2,"PTD1",2,"PTD0",3,"PTC16",1,"PTD5",1,"PTA5",2,"PTD6",2,"PTE8",2,(LEN(N63)+LEN(N63)-LEN(SUBSTITUTE(N63,"ADC",))-LEN(SUBSTITUTE(N63,"CMP",)))/3)</f>
        <v>0</v>
      </c>
      <c r="AH63" s="109" t="str">
        <f t="shared" si="1"/>
        <v/>
      </c>
    </row>
    <row r="64" spans="1:34" x14ac:dyDescent="0.3">
      <c r="A64" s="88">
        <v>31</v>
      </c>
      <c r="B64" s="25">
        <v>62</v>
      </c>
      <c r="C64" s="25" t="s">
        <v>105</v>
      </c>
      <c r="D64" s="25" t="s">
        <v>105</v>
      </c>
      <c r="E64" s="27"/>
      <c r="F64" s="27"/>
      <c r="G64" s="27"/>
      <c r="H64" s="27"/>
      <c r="I64" s="27"/>
      <c r="J64" s="27"/>
      <c r="K64" s="27"/>
      <c r="L64" s="27"/>
      <c r="M64" s="27"/>
      <c r="N64" s="25" t="s">
        <v>105</v>
      </c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5" t="s">
        <v>105</v>
      </c>
      <c r="AD64" s="3" t="s">
        <v>106</v>
      </c>
      <c r="AE64" s="105"/>
      <c r="AF64" s="109" t="b">
        <f t="shared" si="0"/>
        <v>0</v>
      </c>
      <c r="AG64" s="109" cm="1">
        <f t="array" ref="AG64">_xlfn.SWITCH(C64,"PTA12",2,"PTD1",2,"PTD0",3,"PTC16",1,"PTD5",1,"PTA5",2,"PTD6",2,"PTE8",2,(LEN(N64)+LEN(N64)-LEN(SUBSTITUTE(N64,"ADC",))-LEN(SUBSTITUTE(N64,"CMP",)))/3)</f>
        <v>0</v>
      </c>
      <c r="AH64" s="109" t="str">
        <f t="shared" si="1"/>
        <v/>
      </c>
    </row>
    <row r="65" spans="1:34" x14ac:dyDescent="0.3">
      <c r="A65" s="87"/>
      <c r="B65" s="25">
        <v>63</v>
      </c>
      <c r="C65" s="25" t="s">
        <v>395</v>
      </c>
      <c r="D65" s="25" t="s">
        <v>396</v>
      </c>
      <c r="E65" s="25" t="s">
        <v>396</v>
      </c>
      <c r="F65" s="27"/>
      <c r="G65" s="25" t="s">
        <v>188</v>
      </c>
      <c r="H65" s="25" t="s">
        <v>397</v>
      </c>
      <c r="I65" s="25" t="s">
        <v>398</v>
      </c>
      <c r="J65" s="27"/>
      <c r="K65" s="25" t="s">
        <v>134</v>
      </c>
      <c r="L65" s="27"/>
      <c r="M65" s="27"/>
      <c r="N65" s="25" t="s">
        <v>399</v>
      </c>
      <c r="O65" s="27"/>
      <c r="P65" s="27"/>
      <c r="Q65" s="25" t="s">
        <v>188</v>
      </c>
      <c r="R65" s="25" t="s">
        <v>397</v>
      </c>
      <c r="S65" s="25" t="s">
        <v>398</v>
      </c>
      <c r="T65" s="27"/>
      <c r="U65" s="25" t="s">
        <v>134</v>
      </c>
      <c r="V65" s="27"/>
      <c r="W65" s="27"/>
      <c r="X65" s="25" t="s">
        <v>152</v>
      </c>
      <c r="Y65" s="27"/>
      <c r="Z65" s="27"/>
      <c r="AA65" s="27"/>
      <c r="AB65" s="27"/>
      <c r="AC65" s="25" t="s">
        <v>400</v>
      </c>
      <c r="AD65" s="3" t="s">
        <v>36</v>
      </c>
      <c r="AE65" s="104" t="s">
        <v>308</v>
      </c>
      <c r="AF65" s="109" t="str">
        <f t="shared" si="0"/>
        <v>S</v>
      </c>
      <c r="AG65" s="109" cm="1">
        <f t="array" ref="AG65">_xlfn.SWITCH(C65,"PTA12",2,"PTD1",2,"PTD0",3,"PTC16",1,"PTD5",1,"PTA5",2,"PTD6",2,"PTE8",2,(LEN(N65)+LEN(N65)-LEN(SUBSTITUTE(N65,"ADC",))-LEN(SUBSTITUTE(N65,"CMP",)))/3)</f>
        <v>1</v>
      </c>
      <c r="AH65" s="109" t="str">
        <f t="shared" si="1"/>
        <v>ILKG_33/50_S1</v>
      </c>
    </row>
    <row r="66" spans="1:34" x14ac:dyDescent="0.3">
      <c r="A66" s="87"/>
      <c r="B66" s="25">
        <v>64</v>
      </c>
      <c r="C66" s="25" t="s">
        <v>401</v>
      </c>
      <c r="D66" s="25" t="s">
        <v>402</v>
      </c>
      <c r="E66" s="25" t="s">
        <v>402</v>
      </c>
      <c r="F66" s="27"/>
      <c r="G66" s="25" t="s">
        <v>197</v>
      </c>
      <c r="H66" s="25" t="s">
        <v>403</v>
      </c>
      <c r="I66" s="27"/>
      <c r="J66" s="27"/>
      <c r="K66" s="27"/>
      <c r="L66" s="27"/>
      <c r="M66" s="27"/>
      <c r="N66" s="25" t="s">
        <v>404</v>
      </c>
      <c r="O66" s="27"/>
      <c r="P66" s="27"/>
      <c r="Q66" s="25" t="s">
        <v>197</v>
      </c>
      <c r="R66" s="25" t="s">
        <v>403</v>
      </c>
      <c r="S66" s="27"/>
      <c r="T66" s="27"/>
      <c r="U66" s="27"/>
      <c r="V66" s="27"/>
      <c r="W66" s="27"/>
      <c r="X66" s="25" t="s">
        <v>168</v>
      </c>
      <c r="Y66" s="27"/>
      <c r="Z66" s="27"/>
      <c r="AA66" s="27"/>
      <c r="AB66" s="27"/>
      <c r="AC66" s="25" t="s">
        <v>405</v>
      </c>
      <c r="AD66" s="3" t="s">
        <v>36</v>
      </c>
      <c r="AE66" s="105"/>
      <c r="AF66" s="109" t="str">
        <f t="shared" si="0"/>
        <v>S</v>
      </c>
      <c r="AG66" s="109" cm="1">
        <f t="array" ref="AG66">_xlfn.SWITCH(C66,"PTA12",2,"PTD1",2,"PTD0",3,"PTC16",1,"PTD5",1,"PTA5",2,"PTD6",2,"PTE8",2,(LEN(N66)+LEN(N66)-LEN(SUBSTITUTE(N66,"ADC",))-LEN(SUBSTITUTE(N66,"CMP",)))/3)</f>
        <v>1</v>
      </c>
      <c r="AH66" s="109" t="str">
        <f t="shared" si="1"/>
        <v>ILKG_33/50_S1</v>
      </c>
    </row>
    <row r="67" spans="1:34" x14ac:dyDescent="0.3">
      <c r="A67" s="87"/>
      <c r="B67" s="25">
        <v>65</v>
      </c>
      <c r="C67" s="25" t="s">
        <v>406</v>
      </c>
      <c r="D67" s="25" t="s">
        <v>407</v>
      </c>
      <c r="E67" s="25" t="s">
        <v>407</v>
      </c>
      <c r="F67" s="27"/>
      <c r="G67" s="25" t="s">
        <v>53</v>
      </c>
      <c r="H67" s="25" t="s">
        <v>408</v>
      </c>
      <c r="I67" s="27"/>
      <c r="J67" s="27"/>
      <c r="K67" s="27"/>
      <c r="L67" s="27"/>
      <c r="M67" s="27"/>
      <c r="N67" s="25" t="s">
        <v>409</v>
      </c>
      <c r="O67" s="27"/>
      <c r="P67" s="27"/>
      <c r="Q67" s="25" t="s">
        <v>53</v>
      </c>
      <c r="R67" s="25" t="s">
        <v>408</v>
      </c>
      <c r="S67" s="27"/>
      <c r="T67" s="27"/>
      <c r="U67" s="27"/>
      <c r="V67" s="27"/>
      <c r="W67" s="27"/>
      <c r="X67" s="25" t="s">
        <v>175</v>
      </c>
      <c r="Y67" s="27"/>
      <c r="Z67" s="27"/>
      <c r="AA67" s="27"/>
      <c r="AB67" s="27"/>
      <c r="AC67" s="25" t="s">
        <v>410</v>
      </c>
      <c r="AD67" s="3" t="s">
        <v>36</v>
      </c>
      <c r="AE67" s="104" t="s">
        <v>308</v>
      </c>
      <c r="AF67" s="109" t="str">
        <f t="shared" si="0"/>
        <v>S</v>
      </c>
      <c r="AG67" s="109" cm="1">
        <f t="array" ref="AG67">_xlfn.SWITCH(C67,"PTA12",2,"PTD1",2,"PTD0",3,"PTC16",1,"PTD5",1,"PTA5",2,"PTD6",2,"PTE8",2,(LEN(N67)+LEN(N67)-LEN(SUBSTITUTE(N67,"ADC",))-LEN(SUBSTITUTE(N67,"CMP",)))/3)</f>
        <v>1</v>
      </c>
      <c r="AH67" s="109" t="str">
        <f t="shared" si="1"/>
        <v>ILKG_33/50_S1</v>
      </c>
    </row>
    <row r="68" spans="1:34" x14ac:dyDescent="0.3">
      <c r="A68" s="87"/>
      <c r="B68" s="25">
        <v>66</v>
      </c>
      <c r="C68" s="25" t="s">
        <v>411</v>
      </c>
      <c r="D68" s="25" t="s">
        <v>412</v>
      </c>
      <c r="E68" s="25" t="s">
        <v>412</v>
      </c>
      <c r="F68" s="27"/>
      <c r="G68" s="25" t="s">
        <v>64</v>
      </c>
      <c r="H68" s="25" t="s">
        <v>413</v>
      </c>
      <c r="I68" s="25" t="s">
        <v>414</v>
      </c>
      <c r="J68" s="27"/>
      <c r="K68" s="27"/>
      <c r="L68" s="27"/>
      <c r="M68" s="27"/>
      <c r="N68" s="25" t="s">
        <v>415</v>
      </c>
      <c r="O68" s="27"/>
      <c r="P68" s="27"/>
      <c r="Q68" s="25" t="s">
        <v>64</v>
      </c>
      <c r="R68" s="25" t="s">
        <v>413</v>
      </c>
      <c r="S68" s="27"/>
      <c r="T68" s="27"/>
      <c r="U68" s="27"/>
      <c r="V68" s="27"/>
      <c r="W68" s="27"/>
      <c r="X68" s="25" t="s">
        <v>237</v>
      </c>
      <c r="Y68" s="27"/>
      <c r="Z68" s="27"/>
      <c r="AA68" s="27"/>
      <c r="AB68" s="27"/>
      <c r="AC68" s="25" t="s">
        <v>416</v>
      </c>
      <c r="AD68" s="3" t="s">
        <v>36</v>
      </c>
      <c r="AE68" s="104" t="s">
        <v>73</v>
      </c>
      <c r="AF68" s="109" t="str">
        <f t="shared" ref="AF68:AF105" si="2">IF(ISNUMBER(SEARCH("plus",AD68)),"SP",IF(ISNUMBER(SEARCH("standard",AD68)),"S",IF(ISNUMBER(SEARCH("medium",AD68)),"M",IF(ISNUMBER(SEARCH("fast",AD68)),"F",IF(ISNUMBER(SEARCH("input",AD68)),"I",IF(ISNUMBER(SEARCH("rst",AD68)),"SP"))))))</f>
        <v>S</v>
      </c>
      <c r="AG68" s="109" cm="1">
        <f t="array" ref="AG68">_xlfn.SWITCH(C68,"PTA12",2,"PTD1",2,"PTD0",3,"PTC16",1,"PTD5",1,"PTA5",2,"PTD6",2,"PTE8",2,(LEN(N68)+LEN(N68)-LEN(SUBSTITUTE(N68,"ADC",))-LEN(SUBSTITUTE(N68,"CMP",)))/3)</f>
        <v>2</v>
      </c>
      <c r="AH68" s="109" t="str">
        <f t="shared" ref="AH68:AH105" si="3">IF(ISTEXT(AF68),_xlfn.CONCAT("ILKG_33/50_",AF68,AG68),"")</f>
        <v>ILKG_33/50_S2</v>
      </c>
    </row>
    <row r="69" spans="1:34" x14ac:dyDescent="0.3">
      <c r="A69" s="88">
        <v>32</v>
      </c>
      <c r="B69" s="25">
        <v>67</v>
      </c>
      <c r="C69" s="25" t="s">
        <v>417</v>
      </c>
      <c r="D69" s="25" t="s">
        <v>418</v>
      </c>
      <c r="E69" s="25" t="s">
        <v>418</v>
      </c>
      <c r="F69" s="25" t="s">
        <v>211</v>
      </c>
      <c r="G69" s="25" t="s">
        <v>77</v>
      </c>
      <c r="H69" s="25" t="s">
        <v>127</v>
      </c>
      <c r="I69" s="27"/>
      <c r="J69" s="25" t="s">
        <v>419</v>
      </c>
      <c r="K69" s="27"/>
      <c r="L69" s="27"/>
      <c r="M69" s="27"/>
      <c r="N69" s="25" t="s">
        <v>420</v>
      </c>
      <c r="O69" s="27"/>
      <c r="P69" s="25" t="s">
        <v>211</v>
      </c>
      <c r="Q69" s="25" t="s">
        <v>77</v>
      </c>
      <c r="R69" s="25" t="s">
        <v>127</v>
      </c>
      <c r="S69" s="27"/>
      <c r="T69" s="27"/>
      <c r="U69" s="27"/>
      <c r="V69" s="27"/>
      <c r="W69" s="27"/>
      <c r="X69" s="25" t="s">
        <v>242</v>
      </c>
      <c r="Y69" s="25" t="s">
        <v>390</v>
      </c>
      <c r="Z69" s="27"/>
      <c r="AA69" s="27"/>
      <c r="AB69" s="27"/>
      <c r="AC69" s="25" t="s">
        <v>421</v>
      </c>
      <c r="AD69" s="3" t="s">
        <v>36</v>
      </c>
      <c r="AE69" s="104" t="s">
        <v>37</v>
      </c>
      <c r="AF69" s="109" t="str">
        <f t="shared" si="2"/>
        <v>S</v>
      </c>
      <c r="AG69" s="109" cm="1">
        <f t="array" ref="AG69">_xlfn.SWITCH(C69,"PTA12",2,"PTD1",2,"PTD0",3,"PTC16",1,"PTD5",1,"PTA5",2,"PTD6",2,"PTE8",2,(LEN(N69)+LEN(N69)-LEN(SUBSTITUTE(N69,"ADC",))-LEN(SUBSTITUTE(N69,"CMP",)))/3)</f>
        <v>2</v>
      </c>
      <c r="AH69" s="109" t="str">
        <f t="shared" si="3"/>
        <v>ILKG_33/50_S2</v>
      </c>
    </row>
    <row r="70" spans="1:34" x14ac:dyDescent="0.3">
      <c r="A70" s="87"/>
      <c r="B70" s="25">
        <v>68</v>
      </c>
      <c r="C70" s="25" t="s">
        <v>422</v>
      </c>
      <c r="D70" s="25" t="s">
        <v>423</v>
      </c>
      <c r="E70" s="25" t="s">
        <v>423</v>
      </c>
      <c r="F70" s="25" t="s">
        <v>221</v>
      </c>
      <c r="G70" s="25" t="s">
        <v>147</v>
      </c>
      <c r="H70" s="27"/>
      <c r="I70" s="27"/>
      <c r="J70" s="27"/>
      <c r="K70" s="25" t="s">
        <v>424</v>
      </c>
      <c r="L70" s="27"/>
      <c r="M70" s="27"/>
      <c r="N70" s="25" t="s">
        <v>425</v>
      </c>
      <c r="O70" s="27"/>
      <c r="P70" s="25" t="s">
        <v>221</v>
      </c>
      <c r="Q70" s="25" t="s">
        <v>147</v>
      </c>
      <c r="R70" s="27"/>
      <c r="S70" s="27"/>
      <c r="T70" s="27"/>
      <c r="U70" s="27"/>
      <c r="V70" s="27"/>
      <c r="W70" s="27"/>
      <c r="X70" s="25" t="s">
        <v>246</v>
      </c>
      <c r="Y70" s="25" t="s">
        <v>383</v>
      </c>
      <c r="Z70" s="27"/>
      <c r="AA70" s="27"/>
      <c r="AB70" s="27"/>
      <c r="AC70" s="25" t="s">
        <v>426</v>
      </c>
      <c r="AD70" s="3" t="s">
        <v>36</v>
      </c>
      <c r="AE70" s="104" t="s">
        <v>308</v>
      </c>
      <c r="AF70" s="109" t="str">
        <f t="shared" si="2"/>
        <v>S</v>
      </c>
      <c r="AG70" s="109" cm="1">
        <f t="array" ref="AG70">_xlfn.SWITCH(C70,"PTA12",2,"PTD1",2,"PTD0",3,"PTC16",1,"PTD5",1,"PTA5",2,"PTD6",2,"PTE8",2,(LEN(N70)+LEN(N70)-LEN(SUBSTITUTE(N70,"ADC",))-LEN(SUBSTITUTE(N70,"CMP",)))/3)</f>
        <v>2</v>
      </c>
      <c r="AH70" s="109" t="str">
        <f t="shared" si="3"/>
        <v>ILKG_33/50_S2</v>
      </c>
    </row>
    <row r="71" spans="1:34" x14ac:dyDescent="0.3">
      <c r="A71" s="87"/>
      <c r="B71" s="25">
        <v>69</v>
      </c>
      <c r="C71" s="25" t="s">
        <v>427</v>
      </c>
      <c r="D71" s="25" t="s">
        <v>428</v>
      </c>
      <c r="E71" s="25" t="s">
        <v>428</v>
      </c>
      <c r="F71" s="27"/>
      <c r="G71" s="25" t="s">
        <v>429</v>
      </c>
      <c r="H71" s="25" t="s">
        <v>387</v>
      </c>
      <c r="I71" s="27"/>
      <c r="J71" s="25" t="s">
        <v>430</v>
      </c>
      <c r="K71" s="27"/>
      <c r="L71" s="27"/>
      <c r="M71" s="27"/>
      <c r="N71" s="25" t="s">
        <v>431</v>
      </c>
      <c r="O71" s="27"/>
      <c r="P71" s="27"/>
      <c r="Q71" s="25" t="s">
        <v>429</v>
      </c>
      <c r="R71" s="25" t="s">
        <v>387</v>
      </c>
      <c r="S71" s="27"/>
      <c r="T71" s="27"/>
      <c r="U71" s="27"/>
      <c r="V71" s="27"/>
      <c r="W71" s="27"/>
      <c r="X71" s="25" t="s">
        <v>100</v>
      </c>
      <c r="Y71" s="27"/>
      <c r="Z71" s="27"/>
      <c r="AA71" s="27"/>
      <c r="AB71" s="27"/>
      <c r="AC71" s="25" t="s">
        <v>432</v>
      </c>
      <c r="AD71" s="3" t="s">
        <v>36</v>
      </c>
      <c r="AE71" s="104" t="s">
        <v>73</v>
      </c>
      <c r="AF71" s="109" t="str">
        <f t="shared" si="2"/>
        <v>S</v>
      </c>
      <c r="AG71" s="109" cm="1">
        <f t="array" ref="AG71">_xlfn.SWITCH(C71,"PTA12",2,"PTD1",2,"PTD0",3,"PTC16",1,"PTD5",1,"PTA5",2,"PTD6",2,"PTE8",2,(LEN(N71)+LEN(N71)-LEN(SUBSTITUTE(N71,"ADC",))-LEN(SUBSTITUTE(N71,"CMP",)))/3)</f>
        <v>1</v>
      </c>
      <c r="AH71" s="109" t="str">
        <f t="shared" si="3"/>
        <v>ILKG_33/50_S1</v>
      </c>
    </row>
    <row r="72" spans="1:34" x14ac:dyDescent="0.3">
      <c r="A72" s="88">
        <v>33</v>
      </c>
      <c r="B72" s="25">
        <v>70</v>
      </c>
      <c r="C72" s="25" t="s">
        <v>433</v>
      </c>
      <c r="D72" s="25" t="s">
        <v>434</v>
      </c>
      <c r="E72" s="25" t="s">
        <v>434</v>
      </c>
      <c r="F72" s="27"/>
      <c r="G72" s="25" t="s">
        <v>435</v>
      </c>
      <c r="H72" s="25" t="s">
        <v>436</v>
      </c>
      <c r="I72" s="25" t="s">
        <v>79</v>
      </c>
      <c r="J72" s="25" t="s">
        <v>128</v>
      </c>
      <c r="K72" s="25" t="s">
        <v>336</v>
      </c>
      <c r="L72" s="27"/>
      <c r="M72" s="27"/>
      <c r="N72" s="25" t="s">
        <v>437</v>
      </c>
      <c r="O72" s="27"/>
      <c r="P72" s="27"/>
      <c r="Q72" s="25" t="s">
        <v>435</v>
      </c>
      <c r="R72" s="25" t="s">
        <v>436</v>
      </c>
      <c r="S72" s="25" t="s">
        <v>79</v>
      </c>
      <c r="T72" s="25" t="s">
        <v>128</v>
      </c>
      <c r="U72" s="27"/>
      <c r="V72" s="27"/>
      <c r="W72" s="27"/>
      <c r="X72" s="25" t="s">
        <v>129</v>
      </c>
      <c r="Y72" s="25" t="s">
        <v>49</v>
      </c>
      <c r="Z72" s="25" t="s">
        <v>438</v>
      </c>
      <c r="AA72" s="27"/>
      <c r="AB72" s="27"/>
      <c r="AC72" s="25" t="s">
        <v>439</v>
      </c>
      <c r="AD72" s="3" t="s">
        <v>36</v>
      </c>
      <c r="AE72" s="104" t="s">
        <v>37</v>
      </c>
      <c r="AF72" s="109" t="str">
        <f t="shared" si="2"/>
        <v>S</v>
      </c>
      <c r="AG72" s="109" cm="1">
        <f t="array" ref="AG72">_xlfn.SWITCH(C72,"PTA12",2,"PTD1",2,"PTD0",3,"PTC16",1,"PTD5",1,"PTA5",2,"PTD6",2,"PTE8",2,(LEN(N72)+LEN(N72)-LEN(SUBSTITUTE(N72,"ADC",))-LEN(SUBSTITUTE(N72,"CMP",)))/3)</f>
        <v>1</v>
      </c>
      <c r="AH72" s="109" t="str">
        <f t="shared" si="3"/>
        <v>ILKG_33/50_S1</v>
      </c>
    </row>
    <row r="73" spans="1:34" x14ac:dyDescent="0.3">
      <c r="A73" s="88">
        <v>34</v>
      </c>
      <c r="B73" s="25">
        <v>71</v>
      </c>
      <c r="C73" s="25" t="s">
        <v>440</v>
      </c>
      <c r="D73" s="25" t="s">
        <v>441</v>
      </c>
      <c r="E73" s="25" t="s">
        <v>441</v>
      </c>
      <c r="F73" s="25" t="s">
        <v>345</v>
      </c>
      <c r="G73" s="25" t="s">
        <v>442</v>
      </c>
      <c r="H73" s="25" t="s">
        <v>403</v>
      </c>
      <c r="I73" s="25" t="s">
        <v>91</v>
      </c>
      <c r="J73" s="25" t="s">
        <v>118</v>
      </c>
      <c r="K73" s="25" t="s">
        <v>26</v>
      </c>
      <c r="L73" s="27"/>
      <c r="M73" s="27"/>
      <c r="N73" s="25" t="s">
        <v>443</v>
      </c>
      <c r="O73" s="27"/>
      <c r="P73" s="27"/>
      <c r="Q73" s="25" t="s">
        <v>442</v>
      </c>
      <c r="R73" s="25" t="s">
        <v>403</v>
      </c>
      <c r="S73" s="25" t="s">
        <v>91</v>
      </c>
      <c r="T73" s="25" t="s">
        <v>118</v>
      </c>
      <c r="U73" s="25" t="s">
        <v>26</v>
      </c>
      <c r="V73" s="27"/>
      <c r="W73" s="27"/>
      <c r="X73" s="25" t="s">
        <v>82</v>
      </c>
      <c r="Y73" s="25" t="s">
        <v>444</v>
      </c>
      <c r="Z73" s="27"/>
      <c r="AA73" s="27"/>
      <c r="AB73" s="27"/>
      <c r="AC73" s="25" t="s">
        <v>445</v>
      </c>
      <c r="AD73" s="3" t="s">
        <v>36</v>
      </c>
      <c r="AE73" s="104" t="s">
        <v>73</v>
      </c>
      <c r="AF73" s="109" t="str">
        <f t="shared" si="2"/>
        <v>S</v>
      </c>
      <c r="AG73" s="109" cm="1">
        <f t="array" ref="AG73">_xlfn.SWITCH(C73,"PTA12",2,"PTD1",2,"PTD0",3,"PTC16",1,"PTD5",1,"PTA5",2,"PTD6",2,"PTE8",2,(LEN(N73)+LEN(N73)-LEN(SUBSTITUTE(N73,"ADC",))-LEN(SUBSTITUTE(N73,"CMP",)))/3)</f>
        <v>1</v>
      </c>
      <c r="AH73" s="109" t="str">
        <f t="shared" si="3"/>
        <v>ILKG_33/50_S1</v>
      </c>
    </row>
    <row r="74" spans="1:34" x14ac:dyDescent="0.3">
      <c r="A74" s="88">
        <v>35</v>
      </c>
      <c r="B74" s="25">
        <v>72</v>
      </c>
      <c r="C74" s="25" t="s">
        <v>446</v>
      </c>
      <c r="D74" s="25" t="s">
        <v>447</v>
      </c>
      <c r="E74" s="25" t="s">
        <v>447</v>
      </c>
      <c r="F74" s="25" t="s">
        <v>25</v>
      </c>
      <c r="G74" s="25" t="s">
        <v>448</v>
      </c>
      <c r="H74" s="25" t="s">
        <v>413</v>
      </c>
      <c r="I74" s="25" t="s">
        <v>424</v>
      </c>
      <c r="J74" s="25" t="s">
        <v>79</v>
      </c>
      <c r="K74" s="25" t="s">
        <v>205</v>
      </c>
      <c r="L74" s="27"/>
      <c r="M74" s="27"/>
      <c r="N74" s="25" t="s">
        <v>449</v>
      </c>
      <c r="O74" s="27"/>
      <c r="P74" s="27"/>
      <c r="Q74" s="25" t="s">
        <v>448</v>
      </c>
      <c r="R74" s="25" t="s">
        <v>413</v>
      </c>
      <c r="S74" s="27"/>
      <c r="T74" s="25" t="s">
        <v>79</v>
      </c>
      <c r="U74" s="25" t="s">
        <v>205</v>
      </c>
      <c r="V74" s="27"/>
      <c r="W74" s="27"/>
      <c r="X74" s="25" t="s">
        <v>121</v>
      </c>
      <c r="Y74" s="25" t="s">
        <v>34</v>
      </c>
      <c r="Z74" s="27"/>
      <c r="AA74" s="27"/>
      <c r="AB74" s="27"/>
      <c r="AC74" s="25" t="s">
        <v>450</v>
      </c>
      <c r="AD74" s="3" t="s">
        <v>36</v>
      </c>
      <c r="AE74" s="104" t="s">
        <v>451</v>
      </c>
      <c r="AF74" s="109" t="str">
        <f t="shared" si="2"/>
        <v>S</v>
      </c>
      <c r="AG74" s="109" cm="1">
        <f t="array" ref="AG74">_xlfn.SWITCH(C74,"PTA12",2,"PTD1",2,"PTD0",3,"PTC16",1,"PTD5",1,"PTA5",2,"PTD6",2,"PTE8",2,(LEN(N74)+LEN(N74)-LEN(SUBSTITUTE(N74,"ADC",))-LEN(SUBSTITUTE(N74,"CMP",)))/3)</f>
        <v>1</v>
      </c>
      <c r="AH74" s="109" t="str">
        <f t="shared" si="3"/>
        <v>ILKG_33/50_S1</v>
      </c>
    </row>
    <row r="75" spans="1:34" x14ac:dyDescent="0.3">
      <c r="A75" s="88">
        <v>36</v>
      </c>
      <c r="B75" s="25">
        <v>73</v>
      </c>
      <c r="C75" s="25" t="s">
        <v>452</v>
      </c>
      <c r="D75" s="25" t="s">
        <v>453</v>
      </c>
      <c r="E75" s="25" t="s">
        <v>453</v>
      </c>
      <c r="F75" s="25" t="s">
        <v>40</v>
      </c>
      <c r="G75" s="25" t="s">
        <v>454</v>
      </c>
      <c r="H75" s="27"/>
      <c r="I75" s="27"/>
      <c r="J75" s="25" t="s">
        <v>91</v>
      </c>
      <c r="K75" s="25" t="s">
        <v>419</v>
      </c>
      <c r="L75" s="27"/>
      <c r="M75" s="27"/>
      <c r="N75" s="25" t="s">
        <v>455</v>
      </c>
      <c r="O75" s="27"/>
      <c r="P75" s="27"/>
      <c r="Q75" s="25" t="s">
        <v>454</v>
      </c>
      <c r="R75" s="27"/>
      <c r="S75" s="27"/>
      <c r="T75" s="25" t="s">
        <v>91</v>
      </c>
      <c r="U75" s="27"/>
      <c r="V75" s="27"/>
      <c r="W75" s="27"/>
      <c r="X75" s="25" t="s">
        <v>216</v>
      </c>
      <c r="Y75" s="25" t="s">
        <v>47</v>
      </c>
      <c r="Z75" s="25" t="s">
        <v>408</v>
      </c>
      <c r="AA75" s="25" t="s">
        <v>217</v>
      </c>
      <c r="AB75" s="27"/>
      <c r="AC75" s="25" t="s">
        <v>456</v>
      </c>
      <c r="AD75" s="3" t="s">
        <v>36</v>
      </c>
      <c r="AE75" s="104" t="s">
        <v>457</v>
      </c>
      <c r="AF75" s="109" t="str">
        <f t="shared" si="2"/>
        <v>S</v>
      </c>
      <c r="AG75" s="109" cm="1">
        <f t="array" ref="AG75">_xlfn.SWITCH(C75,"PTA12",2,"PTD1",2,"PTD0",3,"PTC16",1,"PTD5",1,"PTA5",2,"PTD6",2,"PTE8",2,(LEN(N75)+LEN(N75)-LEN(SUBSTITUTE(N75,"ADC",))-LEN(SUBSTITUTE(N75,"CMP",)))/3)</f>
        <v>1</v>
      </c>
      <c r="AH75" s="109" t="str">
        <f t="shared" si="3"/>
        <v>ILKG_33/50_S1</v>
      </c>
    </row>
    <row r="76" spans="1:34" x14ac:dyDescent="0.3">
      <c r="A76" s="87"/>
      <c r="B76" s="25">
        <v>74</v>
      </c>
      <c r="C76" s="25" t="s">
        <v>458</v>
      </c>
      <c r="D76" s="25" t="s">
        <v>459</v>
      </c>
      <c r="E76" s="25" t="s">
        <v>459</v>
      </c>
      <c r="F76" s="27"/>
      <c r="G76" s="25" t="s">
        <v>460</v>
      </c>
      <c r="H76" s="27"/>
      <c r="I76" s="27"/>
      <c r="J76" s="25" t="s">
        <v>461</v>
      </c>
      <c r="K76" s="27"/>
      <c r="L76" s="27"/>
      <c r="M76" s="27"/>
      <c r="N76" s="25" t="s">
        <v>462</v>
      </c>
      <c r="O76" s="27"/>
      <c r="P76" s="27"/>
      <c r="Q76" s="25" t="s">
        <v>460</v>
      </c>
      <c r="R76" s="27"/>
      <c r="S76" s="27"/>
      <c r="T76" s="27"/>
      <c r="U76" s="27"/>
      <c r="V76" s="27"/>
      <c r="W76" s="27"/>
      <c r="X76" s="25" t="s">
        <v>262</v>
      </c>
      <c r="Y76" s="25" t="s">
        <v>463</v>
      </c>
      <c r="Z76" s="25" t="s">
        <v>348</v>
      </c>
      <c r="AA76" s="27"/>
      <c r="AB76" s="27"/>
      <c r="AC76" s="25" t="s">
        <v>464</v>
      </c>
      <c r="AD76" s="3" t="s">
        <v>36</v>
      </c>
      <c r="AE76" s="104" t="s">
        <v>457</v>
      </c>
      <c r="AF76" s="109" t="str">
        <f t="shared" si="2"/>
        <v>S</v>
      </c>
      <c r="AG76" s="109" cm="1">
        <f t="array" ref="AG76">_xlfn.SWITCH(C76,"PTA12",2,"PTD1",2,"PTD0",3,"PTC16",1,"PTD5",1,"PTA5",2,"PTD6",2,"PTE8",2,(LEN(N76)+LEN(N76)-LEN(SUBSTITUTE(N76,"ADC",))-LEN(SUBSTITUTE(N76,"CMP",)))/3)</f>
        <v>1</v>
      </c>
      <c r="AH76" s="109" t="str">
        <f t="shared" si="3"/>
        <v>ILKG_33/50_S1</v>
      </c>
    </row>
    <row r="77" spans="1:34" x14ac:dyDescent="0.3">
      <c r="A77" s="87"/>
      <c r="B77" s="25">
        <v>75</v>
      </c>
      <c r="C77" s="25" t="s">
        <v>465</v>
      </c>
      <c r="D77" s="25" t="s">
        <v>466</v>
      </c>
      <c r="E77" s="25" t="s">
        <v>466</v>
      </c>
      <c r="F77" s="27"/>
      <c r="G77" s="25" t="s">
        <v>467</v>
      </c>
      <c r="H77" s="25" t="s">
        <v>333</v>
      </c>
      <c r="I77" s="27"/>
      <c r="J77" s="27"/>
      <c r="K77" s="25" t="s">
        <v>468</v>
      </c>
      <c r="L77" s="27"/>
      <c r="M77" s="27"/>
      <c r="N77" s="25" t="s">
        <v>469</v>
      </c>
      <c r="O77" s="27"/>
      <c r="P77" s="27"/>
      <c r="Q77" s="25" t="s">
        <v>467</v>
      </c>
      <c r="R77" s="27"/>
      <c r="S77" s="27"/>
      <c r="T77" s="27"/>
      <c r="U77" s="27"/>
      <c r="V77" s="27"/>
      <c r="W77" s="27"/>
      <c r="X77" s="25" t="s">
        <v>136</v>
      </c>
      <c r="Y77" s="27"/>
      <c r="Z77" s="27"/>
      <c r="AA77" s="27"/>
      <c r="AB77" s="27"/>
      <c r="AC77" s="25" t="s">
        <v>470</v>
      </c>
      <c r="AD77" s="3" t="s">
        <v>36</v>
      </c>
      <c r="AE77" s="104" t="s">
        <v>457</v>
      </c>
      <c r="AF77" s="109" t="str">
        <f t="shared" si="2"/>
        <v>S</v>
      </c>
      <c r="AG77" s="109" cm="1">
        <f t="array" ref="AG77">_xlfn.SWITCH(C77,"PTA12",2,"PTD1",2,"PTD0",3,"PTC16",1,"PTD5",1,"PTA5",2,"PTD6",2,"PTE8",2,(LEN(N77)+LEN(N77)-LEN(SUBSTITUTE(N77,"ADC",))-LEN(SUBSTITUTE(N77,"CMP",)))/3)</f>
        <v>1</v>
      </c>
      <c r="AH77" s="109" t="str">
        <f t="shared" si="3"/>
        <v>ILKG_33/50_S1</v>
      </c>
    </row>
    <row r="78" spans="1:34" x14ac:dyDescent="0.3">
      <c r="A78" s="87"/>
      <c r="B78" s="25">
        <v>76</v>
      </c>
      <c r="C78" s="25" t="s">
        <v>471</v>
      </c>
      <c r="D78" s="25" t="s">
        <v>472</v>
      </c>
      <c r="E78" s="25" t="s">
        <v>472</v>
      </c>
      <c r="F78" s="27"/>
      <c r="G78" s="25" t="s">
        <v>473</v>
      </c>
      <c r="H78" s="27"/>
      <c r="I78" s="27"/>
      <c r="J78" s="27"/>
      <c r="K78" s="25" t="s">
        <v>474</v>
      </c>
      <c r="L78" s="27"/>
      <c r="M78" s="27"/>
      <c r="N78" s="25" t="s">
        <v>475</v>
      </c>
      <c r="O78" s="27"/>
      <c r="P78" s="27"/>
      <c r="Q78" s="25" t="s">
        <v>473</v>
      </c>
      <c r="R78" s="27"/>
      <c r="S78" s="27"/>
      <c r="T78" s="27"/>
      <c r="U78" s="27"/>
      <c r="V78" s="27"/>
      <c r="W78" s="27"/>
      <c r="X78" s="25" t="s">
        <v>33</v>
      </c>
      <c r="Y78" s="25" t="s">
        <v>476</v>
      </c>
      <c r="Z78" s="27"/>
      <c r="AA78" s="27"/>
      <c r="AB78" s="27"/>
      <c r="AC78" s="25" t="s">
        <v>477</v>
      </c>
      <c r="AD78" s="3" t="s">
        <v>36</v>
      </c>
      <c r="AE78" s="104" t="s">
        <v>457</v>
      </c>
      <c r="AF78" s="109" t="str">
        <f t="shared" si="2"/>
        <v>S</v>
      </c>
      <c r="AG78" s="109" cm="1">
        <f t="array" ref="AG78">_xlfn.SWITCH(C78,"PTA12",2,"PTD1",2,"PTD0",3,"PTC16",1,"PTD5",1,"PTA5",2,"PTD6",2,"PTE8",2,(LEN(N78)+LEN(N78)-LEN(SUBSTITUTE(N78,"ADC",))-LEN(SUBSTITUTE(N78,"CMP",)))/3)</f>
        <v>1</v>
      </c>
      <c r="AH78" s="109" t="str">
        <f t="shared" si="3"/>
        <v>ILKG_33/50_S1</v>
      </c>
    </row>
    <row r="79" spans="1:34" x14ac:dyDescent="0.3">
      <c r="A79" s="87"/>
      <c r="B79" s="25">
        <v>77</v>
      </c>
      <c r="C79" s="25" t="s">
        <v>478</v>
      </c>
      <c r="D79" s="25" t="s">
        <v>479</v>
      </c>
      <c r="E79" s="25" t="s">
        <v>479</v>
      </c>
      <c r="F79" s="27"/>
      <c r="G79" s="25" t="s">
        <v>142</v>
      </c>
      <c r="H79" s="27"/>
      <c r="I79" s="27"/>
      <c r="J79" s="25" t="s">
        <v>480</v>
      </c>
      <c r="K79" s="25" t="s">
        <v>481</v>
      </c>
      <c r="L79" s="27"/>
      <c r="M79" s="27"/>
      <c r="N79" s="25" t="s">
        <v>482</v>
      </c>
      <c r="O79" s="27"/>
      <c r="P79" s="27"/>
      <c r="Q79" s="25" t="s">
        <v>142</v>
      </c>
      <c r="R79" s="27"/>
      <c r="S79" s="27"/>
      <c r="T79" s="27"/>
      <c r="U79" s="25" t="s">
        <v>481</v>
      </c>
      <c r="V79" s="27"/>
      <c r="W79" s="27"/>
      <c r="X79" s="25" t="s">
        <v>46</v>
      </c>
      <c r="Y79" s="25" t="s">
        <v>483</v>
      </c>
      <c r="Z79" s="27"/>
      <c r="AA79" s="27"/>
      <c r="AB79" s="27"/>
      <c r="AC79" s="25" t="s">
        <v>484</v>
      </c>
      <c r="AD79" s="3" t="s">
        <v>36</v>
      </c>
      <c r="AE79" s="104" t="s">
        <v>457</v>
      </c>
      <c r="AF79" s="109" t="str">
        <f t="shared" si="2"/>
        <v>S</v>
      </c>
      <c r="AG79" s="109" cm="1">
        <f t="array" ref="AG79">_xlfn.SWITCH(C79,"PTA12",2,"PTD1",2,"PTD0",3,"PTC16",1,"PTD5",1,"PTA5",2,"PTD6",2,"PTE8",2,(LEN(N79)+LEN(N79)-LEN(SUBSTITUTE(N79,"ADC",))-LEN(SUBSTITUTE(N79,"CMP",)))/3)</f>
        <v>1</v>
      </c>
      <c r="AH79" s="109" t="str">
        <f t="shared" si="3"/>
        <v>ILKG_33/50_S1</v>
      </c>
    </row>
    <row r="80" spans="1:34" x14ac:dyDescent="0.3">
      <c r="A80" s="88">
        <v>37</v>
      </c>
      <c r="B80" s="25">
        <v>78</v>
      </c>
      <c r="C80" s="25" t="s">
        <v>485</v>
      </c>
      <c r="D80" s="25" t="s">
        <v>486</v>
      </c>
      <c r="E80" s="25" t="s">
        <v>486</v>
      </c>
      <c r="F80" s="27"/>
      <c r="G80" s="25" t="s">
        <v>302</v>
      </c>
      <c r="H80" s="25" t="s">
        <v>368</v>
      </c>
      <c r="I80" s="25" t="s">
        <v>30</v>
      </c>
      <c r="J80" s="25" t="s">
        <v>487</v>
      </c>
      <c r="K80" s="25" t="s">
        <v>488</v>
      </c>
      <c r="L80" s="25" t="s">
        <v>489</v>
      </c>
      <c r="M80" s="27"/>
      <c r="N80" s="25" t="s">
        <v>490</v>
      </c>
      <c r="O80" s="27"/>
      <c r="P80" s="27"/>
      <c r="Q80" s="25" t="s">
        <v>302</v>
      </c>
      <c r="R80" s="27"/>
      <c r="S80" s="25" t="s">
        <v>30</v>
      </c>
      <c r="T80" s="27"/>
      <c r="U80" s="25" t="s">
        <v>488</v>
      </c>
      <c r="V80" s="27"/>
      <c r="W80" s="27"/>
      <c r="X80" s="25" t="s">
        <v>251</v>
      </c>
      <c r="Y80" s="27"/>
      <c r="Z80" s="27"/>
      <c r="AA80" s="27"/>
      <c r="AB80" s="27"/>
      <c r="AC80" s="25" t="s">
        <v>491</v>
      </c>
      <c r="AD80" s="3" t="s">
        <v>36</v>
      </c>
      <c r="AE80" s="105"/>
      <c r="AF80" s="109" t="str">
        <f t="shared" si="2"/>
        <v>S</v>
      </c>
      <c r="AG80" s="109" cm="1">
        <f t="array" ref="AG80">_xlfn.SWITCH(C80,"PTA12",2,"PTD1",2,"PTD0",3,"PTC16",1,"PTD5",1,"PTA5",2,"PTD6",2,"PTE8",2,(LEN(N80)+LEN(N80)-LEN(SUBSTITUTE(N80,"ADC",))-LEN(SUBSTITUTE(N80,"CMP",)))/3)</f>
        <v>1</v>
      </c>
      <c r="AH80" s="109" t="str">
        <f t="shared" si="3"/>
        <v>ILKG_33/50_S1</v>
      </c>
    </row>
    <row r="81" spans="1:34" x14ac:dyDescent="0.3">
      <c r="A81" s="88">
        <v>38</v>
      </c>
      <c r="B81" s="25">
        <v>79</v>
      </c>
      <c r="C81" s="25" t="s">
        <v>492</v>
      </c>
      <c r="D81" s="25" t="s">
        <v>493</v>
      </c>
      <c r="E81" s="25" t="s">
        <v>493</v>
      </c>
      <c r="F81" s="27"/>
      <c r="G81" s="25" t="s">
        <v>55</v>
      </c>
      <c r="H81" s="25" t="s">
        <v>494</v>
      </c>
      <c r="I81" s="25" t="s">
        <v>43</v>
      </c>
      <c r="J81" s="25" t="s">
        <v>344</v>
      </c>
      <c r="K81" s="25" t="s">
        <v>495</v>
      </c>
      <c r="L81" s="25" t="s">
        <v>496</v>
      </c>
      <c r="M81" s="27"/>
      <c r="N81" s="25" t="s">
        <v>497</v>
      </c>
      <c r="O81" s="27"/>
      <c r="P81" s="27"/>
      <c r="Q81" s="25" t="s">
        <v>55</v>
      </c>
      <c r="R81" s="27"/>
      <c r="S81" s="25" t="s">
        <v>43</v>
      </c>
      <c r="T81" s="25" t="s">
        <v>344</v>
      </c>
      <c r="U81" s="25" t="s">
        <v>495</v>
      </c>
      <c r="V81" s="27"/>
      <c r="W81" s="27"/>
      <c r="X81" s="25" t="s">
        <v>256</v>
      </c>
      <c r="Y81" s="25" t="s">
        <v>378</v>
      </c>
      <c r="Z81" s="27"/>
      <c r="AA81" s="27"/>
      <c r="AB81" s="27"/>
      <c r="AC81" s="25" t="s">
        <v>498</v>
      </c>
      <c r="AD81" s="3" t="s">
        <v>36</v>
      </c>
      <c r="AE81" s="104" t="s">
        <v>457</v>
      </c>
      <c r="AF81" s="109" t="str">
        <f t="shared" si="2"/>
        <v>S</v>
      </c>
      <c r="AG81" s="109" cm="1">
        <f t="array" ref="AG81">_xlfn.SWITCH(C81,"PTA12",2,"PTD1",2,"PTD0",3,"PTC16",1,"PTD5",1,"PTA5",2,"PTD6",2,"PTE8",2,(LEN(N81)+LEN(N81)-LEN(SUBSTITUTE(N81,"ADC",))-LEN(SUBSTITUTE(N81,"CMP",)))/3)</f>
        <v>1</v>
      </c>
      <c r="AH81" s="109" t="str">
        <f t="shared" si="3"/>
        <v>ILKG_33/50_S1</v>
      </c>
    </row>
    <row r="82" spans="1:34" x14ac:dyDescent="0.3">
      <c r="A82" s="88">
        <v>39</v>
      </c>
      <c r="B82" s="25">
        <v>80</v>
      </c>
      <c r="C82" s="25" t="s">
        <v>499</v>
      </c>
      <c r="D82" s="25" t="s">
        <v>500</v>
      </c>
      <c r="E82" s="25" t="s">
        <v>500</v>
      </c>
      <c r="F82" s="25" t="s">
        <v>150</v>
      </c>
      <c r="G82" s="25" t="s">
        <v>165</v>
      </c>
      <c r="H82" s="25" t="s">
        <v>260</v>
      </c>
      <c r="I82" s="25" t="s">
        <v>430</v>
      </c>
      <c r="J82" s="25" t="s">
        <v>398</v>
      </c>
      <c r="K82" s="25" t="s">
        <v>190</v>
      </c>
      <c r="L82" s="25" t="s">
        <v>271</v>
      </c>
      <c r="M82" s="27"/>
      <c r="N82" s="25" t="s">
        <v>501</v>
      </c>
      <c r="O82" s="27"/>
      <c r="P82" s="25" t="s">
        <v>150</v>
      </c>
      <c r="Q82" s="25" t="s">
        <v>165</v>
      </c>
      <c r="R82" s="25" t="s">
        <v>260</v>
      </c>
      <c r="S82" s="27"/>
      <c r="T82" s="25" t="s">
        <v>398</v>
      </c>
      <c r="U82" s="25" t="s">
        <v>190</v>
      </c>
      <c r="V82" s="27"/>
      <c r="W82" s="27"/>
      <c r="X82" s="25" t="s">
        <v>184</v>
      </c>
      <c r="Y82" s="25" t="s">
        <v>463</v>
      </c>
      <c r="Z82" s="27"/>
      <c r="AA82" s="27"/>
      <c r="AB82" s="27"/>
      <c r="AC82" s="25" t="s">
        <v>502</v>
      </c>
      <c r="AD82" s="3" t="s">
        <v>170</v>
      </c>
      <c r="AE82" s="104" t="s">
        <v>503</v>
      </c>
      <c r="AF82" s="109" t="str">
        <f t="shared" si="2"/>
        <v>SP</v>
      </c>
      <c r="AG82" s="109" cm="1">
        <f t="array" ref="AG82">_xlfn.SWITCH(C82,"PTA12",2,"PTD1",2,"PTD0",3,"PTC16",1,"PTD5",1,"PTA5",2,"PTD6",2,"PTE8",2,(LEN(N82)+LEN(N82)-LEN(SUBSTITUTE(N82,"ADC",))-LEN(SUBSTITUTE(N82,"CMP",)))/3)</f>
        <v>1</v>
      </c>
      <c r="AH82" s="109" t="str">
        <f t="shared" si="3"/>
        <v>ILKG_33/50_SP1</v>
      </c>
    </row>
    <row r="83" spans="1:34" x14ac:dyDescent="0.3">
      <c r="A83" s="88">
        <v>40</v>
      </c>
      <c r="B83" s="25">
        <v>81</v>
      </c>
      <c r="C83" s="25" t="s">
        <v>504</v>
      </c>
      <c r="D83" s="25" t="s">
        <v>505</v>
      </c>
      <c r="E83" s="25" t="s">
        <v>505</v>
      </c>
      <c r="F83" s="25" t="s">
        <v>266</v>
      </c>
      <c r="G83" s="25" t="s">
        <v>160</v>
      </c>
      <c r="H83" s="25" t="s">
        <v>387</v>
      </c>
      <c r="I83" s="25" t="s">
        <v>414</v>
      </c>
      <c r="J83" s="25" t="s">
        <v>362</v>
      </c>
      <c r="K83" s="25" t="s">
        <v>189</v>
      </c>
      <c r="L83" s="25" t="s">
        <v>285</v>
      </c>
      <c r="M83" s="27"/>
      <c r="N83" s="25" t="s">
        <v>506</v>
      </c>
      <c r="O83" s="27"/>
      <c r="P83" s="25" t="s">
        <v>266</v>
      </c>
      <c r="Q83" s="25" t="s">
        <v>160</v>
      </c>
      <c r="R83" s="25" t="s">
        <v>387</v>
      </c>
      <c r="S83" s="27"/>
      <c r="T83" s="25" t="s">
        <v>362</v>
      </c>
      <c r="U83" s="25" t="s">
        <v>189</v>
      </c>
      <c r="V83" s="27"/>
      <c r="W83" s="27"/>
      <c r="X83" s="25" t="s">
        <v>280</v>
      </c>
      <c r="Y83" s="25" t="s">
        <v>389</v>
      </c>
      <c r="Z83" s="25" t="s">
        <v>176</v>
      </c>
      <c r="AA83" s="27"/>
      <c r="AB83" s="27"/>
      <c r="AC83" s="25" t="s">
        <v>507</v>
      </c>
      <c r="AD83" s="3" t="s">
        <v>170</v>
      </c>
      <c r="AE83" s="105"/>
      <c r="AF83" s="109" t="str">
        <f t="shared" si="2"/>
        <v>SP</v>
      </c>
      <c r="AG83" s="109" cm="1">
        <f t="array" ref="AG83">_xlfn.SWITCH(C83,"PTA12",2,"PTD1",2,"PTD0",3,"PTC16",1,"PTD5",1,"PTA5",2,"PTD6",2,"PTE8",2,(LEN(N83)+LEN(N83)-LEN(SUBSTITUTE(N83,"ADC",))-LEN(SUBSTITUTE(N83,"CMP",)))/3)</f>
        <v>1</v>
      </c>
      <c r="AH83" s="109" t="str">
        <f t="shared" si="3"/>
        <v>ILKG_33/50_SP1</v>
      </c>
    </row>
    <row r="84" spans="1:34" x14ac:dyDescent="0.3">
      <c r="A84" s="87"/>
      <c r="B84" s="25">
        <v>82</v>
      </c>
      <c r="C84" s="25" t="s">
        <v>508</v>
      </c>
      <c r="D84" s="25" t="s">
        <v>509</v>
      </c>
      <c r="E84" s="25" t="s">
        <v>509</v>
      </c>
      <c r="F84" s="27"/>
      <c r="G84" s="25" t="s">
        <v>284</v>
      </c>
      <c r="H84" s="25" t="s">
        <v>510</v>
      </c>
      <c r="I84" s="25" t="s">
        <v>511</v>
      </c>
      <c r="J84" s="27"/>
      <c r="K84" s="27"/>
      <c r="L84" s="27"/>
      <c r="M84" s="27"/>
      <c r="N84" s="25" t="s">
        <v>512</v>
      </c>
      <c r="O84" s="27"/>
      <c r="P84" s="27"/>
      <c r="Q84" s="25" t="s">
        <v>284</v>
      </c>
      <c r="R84" s="25" t="s">
        <v>510</v>
      </c>
      <c r="S84" s="25" t="s">
        <v>511</v>
      </c>
      <c r="T84" s="27"/>
      <c r="U84" s="27"/>
      <c r="V84" s="27"/>
      <c r="W84" s="27"/>
      <c r="X84" s="25" t="s">
        <v>513</v>
      </c>
      <c r="Y84" s="25" t="s">
        <v>514</v>
      </c>
      <c r="Z84" s="27"/>
      <c r="AA84" s="27"/>
      <c r="AB84" s="27"/>
      <c r="AC84" s="25" t="s">
        <v>515</v>
      </c>
      <c r="AD84" s="3" t="s">
        <v>36</v>
      </c>
      <c r="AE84" s="104" t="s">
        <v>457</v>
      </c>
      <c r="AF84" s="109" t="str">
        <f t="shared" si="2"/>
        <v>S</v>
      </c>
      <c r="AG84" s="109" cm="1">
        <f t="array" ref="AG84">_xlfn.SWITCH(C84,"PTA12",2,"PTD1",2,"PTD0",3,"PTC16",1,"PTD5",1,"PTA5",2,"PTD6",2,"PTE8",2,(LEN(N84)+LEN(N84)-LEN(SUBSTITUTE(N84,"ADC",))-LEN(SUBSTITUTE(N84,"CMP",)))/3)</f>
        <v>1</v>
      </c>
      <c r="AH84" s="109" t="str">
        <f t="shared" si="3"/>
        <v>ILKG_33/50_S1</v>
      </c>
    </row>
    <row r="85" spans="1:34" x14ac:dyDescent="0.3">
      <c r="A85" s="87"/>
      <c r="B85" s="25">
        <v>83</v>
      </c>
      <c r="C85" s="25" t="s">
        <v>516</v>
      </c>
      <c r="D85" s="25" t="s">
        <v>517</v>
      </c>
      <c r="E85" s="25" t="s">
        <v>517</v>
      </c>
      <c r="F85" s="27"/>
      <c r="G85" s="25" t="s">
        <v>292</v>
      </c>
      <c r="H85" s="25" t="s">
        <v>222</v>
      </c>
      <c r="I85" s="25" t="s">
        <v>518</v>
      </c>
      <c r="J85" s="25" t="s">
        <v>519</v>
      </c>
      <c r="K85" s="27"/>
      <c r="L85" s="27"/>
      <c r="M85" s="27"/>
      <c r="N85" s="25" t="s">
        <v>520</v>
      </c>
      <c r="O85" s="27"/>
      <c r="P85" s="27"/>
      <c r="Q85" s="25" t="s">
        <v>292</v>
      </c>
      <c r="R85" s="25" t="s">
        <v>222</v>
      </c>
      <c r="S85" s="25" t="s">
        <v>518</v>
      </c>
      <c r="T85" s="27"/>
      <c r="U85" s="27"/>
      <c r="V85" s="27"/>
      <c r="W85" s="27"/>
      <c r="X85" s="25" t="s">
        <v>288</v>
      </c>
      <c r="Y85" s="27"/>
      <c r="Z85" s="27"/>
      <c r="AA85" s="27"/>
      <c r="AB85" s="27"/>
      <c r="AC85" s="25" t="s">
        <v>521</v>
      </c>
      <c r="AD85" s="3" t="s">
        <v>36</v>
      </c>
      <c r="AE85" s="104" t="s">
        <v>451</v>
      </c>
      <c r="AF85" s="109" t="str">
        <f t="shared" si="2"/>
        <v>S</v>
      </c>
      <c r="AG85" s="109" cm="1">
        <f t="array" ref="AG85">_xlfn.SWITCH(C85,"PTA12",2,"PTD1",2,"PTD0",3,"PTC16",1,"PTD5",1,"PTA5",2,"PTD6",2,"PTE8",2,(LEN(N85)+LEN(N85)-LEN(SUBSTITUTE(N85,"ADC",))-LEN(SUBSTITUTE(N85,"CMP",)))/3)</f>
        <v>1</v>
      </c>
      <c r="AH85" s="109" t="str">
        <f t="shared" si="3"/>
        <v>ILKG_33/50_S1</v>
      </c>
    </row>
    <row r="86" spans="1:34" x14ac:dyDescent="0.3">
      <c r="A86" s="87"/>
      <c r="B86" s="25">
        <v>84</v>
      </c>
      <c r="C86" s="25" t="s">
        <v>522</v>
      </c>
      <c r="D86" s="25" t="s">
        <v>523</v>
      </c>
      <c r="E86" s="25" t="s">
        <v>523</v>
      </c>
      <c r="F86" s="27"/>
      <c r="G86" s="25" t="s">
        <v>212</v>
      </c>
      <c r="H86" s="25" t="s">
        <v>29</v>
      </c>
      <c r="I86" s="25" t="s">
        <v>148</v>
      </c>
      <c r="J86" s="27"/>
      <c r="K86" s="25" t="s">
        <v>182</v>
      </c>
      <c r="L86" s="25" t="s">
        <v>293</v>
      </c>
      <c r="M86" s="27"/>
      <c r="N86" s="25" t="s">
        <v>524</v>
      </c>
      <c r="O86" s="27"/>
      <c r="P86" s="27"/>
      <c r="Q86" s="25" t="s">
        <v>212</v>
      </c>
      <c r="R86" s="27"/>
      <c r="S86" s="25" t="s">
        <v>148</v>
      </c>
      <c r="T86" s="27"/>
      <c r="U86" s="25" t="s">
        <v>182</v>
      </c>
      <c r="V86" s="27"/>
      <c r="W86" s="27"/>
      <c r="X86" s="25" t="s">
        <v>389</v>
      </c>
      <c r="Y86" s="27"/>
      <c r="Z86" s="27"/>
      <c r="AA86" s="27"/>
      <c r="AB86" s="27"/>
      <c r="AC86" s="25" t="s">
        <v>525</v>
      </c>
      <c r="AD86" s="3" t="s">
        <v>36</v>
      </c>
      <c r="AE86" s="104" t="s">
        <v>503</v>
      </c>
      <c r="AF86" s="109" t="str">
        <f t="shared" si="2"/>
        <v>S</v>
      </c>
      <c r="AG86" s="109" cm="1">
        <f t="array" ref="AG86">_xlfn.SWITCH(C86,"PTA12",2,"PTD1",2,"PTD0",3,"PTC16",1,"PTD5",1,"PTA5",2,"PTD6",2,"PTE8",2,(LEN(N86)+LEN(N86)-LEN(SUBSTITUTE(N86,"ADC",))-LEN(SUBSTITUTE(N86,"CMP",)))/3)</f>
        <v>1</v>
      </c>
      <c r="AH86" s="109" t="str">
        <f t="shared" si="3"/>
        <v>ILKG_33/50_S1</v>
      </c>
    </row>
    <row r="87" spans="1:34" x14ac:dyDescent="0.3">
      <c r="A87" s="87"/>
      <c r="B87" s="25">
        <v>85</v>
      </c>
      <c r="C87" s="25" t="s">
        <v>526</v>
      </c>
      <c r="D87" s="25" t="s">
        <v>527</v>
      </c>
      <c r="E87" s="25" t="s">
        <v>527</v>
      </c>
      <c r="F87" s="27"/>
      <c r="G87" s="25" t="s">
        <v>198</v>
      </c>
      <c r="H87" s="25" t="s">
        <v>53</v>
      </c>
      <c r="I87" s="25" t="s">
        <v>369</v>
      </c>
      <c r="J87" s="27"/>
      <c r="K87" s="25" t="s">
        <v>228</v>
      </c>
      <c r="L87" s="25" t="s">
        <v>304</v>
      </c>
      <c r="M87" s="27"/>
      <c r="N87" s="25" t="s">
        <v>528</v>
      </c>
      <c r="O87" s="27"/>
      <c r="P87" s="27"/>
      <c r="Q87" s="25" t="s">
        <v>198</v>
      </c>
      <c r="R87" s="25" t="s">
        <v>53</v>
      </c>
      <c r="S87" s="25" t="s">
        <v>369</v>
      </c>
      <c r="T87" s="27"/>
      <c r="U87" s="25" t="s">
        <v>228</v>
      </c>
      <c r="V87" s="27"/>
      <c r="W87" s="27"/>
      <c r="X87" s="25" t="s">
        <v>216</v>
      </c>
      <c r="Y87" s="25" t="s">
        <v>48</v>
      </c>
      <c r="Z87" s="27"/>
      <c r="AA87" s="27"/>
      <c r="AB87" s="27"/>
      <c r="AC87" s="25" t="s">
        <v>529</v>
      </c>
      <c r="AD87" s="4" t="s">
        <v>36</v>
      </c>
      <c r="AE87" s="8" t="s">
        <v>451</v>
      </c>
      <c r="AF87" s="109" t="str">
        <f t="shared" si="2"/>
        <v>S</v>
      </c>
      <c r="AG87" s="109" cm="1">
        <f t="array" ref="AG87">_xlfn.SWITCH(C87,"PTA12",2,"PTD1",2,"PTD0",3,"PTC16",1,"PTD5",1,"PTA5",2,"PTD6",2,"PTE8",2,(LEN(N87)+LEN(N87)-LEN(SUBSTITUTE(N87,"ADC",))-LEN(SUBSTITUTE(N87,"CMP",)))/3)</f>
        <v>1</v>
      </c>
      <c r="AH87" s="109" t="str">
        <f t="shared" si="3"/>
        <v>ILKG_33/50_S1</v>
      </c>
    </row>
    <row r="88" spans="1:34" x14ac:dyDescent="0.3">
      <c r="A88" s="87"/>
      <c r="B88" s="25">
        <v>86</v>
      </c>
      <c r="C88" s="25" t="s">
        <v>109</v>
      </c>
      <c r="D88" s="25" t="s">
        <v>109</v>
      </c>
      <c r="E88" s="27"/>
      <c r="F88" s="27"/>
      <c r="G88" s="27"/>
      <c r="H88" s="27"/>
      <c r="I88" s="27"/>
      <c r="J88" s="27"/>
      <c r="K88" s="27"/>
      <c r="L88" s="27"/>
      <c r="M88" s="27"/>
      <c r="N88" s="25" t="s">
        <v>109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5" t="s">
        <v>109</v>
      </c>
      <c r="AD88" s="3" t="s">
        <v>110</v>
      </c>
      <c r="AE88" s="105"/>
      <c r="AF88" s="109" t="b">
        <f t="shared" si="2"/>
        <v>0</v>
      </c>
      <c r="AG88" s="109" cm="1">
        <f t="array" ref="AG88">_xlfn.SWITCH(C88,"PTA12",2,"PTD1",2,"PTD0",3,"PTC16",1,"PTD5",1,"PTA5",2,"PTD6",2,"PTE8",2,(LEN(N88)+LEN(N88)-LEN(SUBSTITUTE(N88,"ADC",))-LEN(SUBSTITUTE(N88,"CMP",)))/3)</f>
        <v>0</v>
      </c>
      <c r="AH88" s="109" t="str">
        <f t="shared" si="3"/>
        <v/>
      </c>
    </row>
    <row r="89" spans="1:34" x14ac:dyDescent="0.3">
      <c r="A89" s="87"/>
      <c r="B89" s="25">
        <v>87</v>
      </c>
      <c r="C89" s="25" t="s">
        <v>105</v>
      </c>
      <c r="D89" s="25" t="s">
        <v>105</v>
      </c>
      <c r="E89" s="27"/>
      <c r="F89" s="27"/>
      <c r="G89" s="27"/>
      <c r="H89" s="27"/>
      <c r="I89" s="27"/>
      <c r="J89" s="27"/>
      <c r="K89" s="27"/>
      <c r="L89" s="27"/>
      <c r="M89" s="27"/>
      <c r="N89" s="25" t="s">
        <v>105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5" t="s">
        <v>105</v>
      </c>
      <c r="AD89" s="3" t="s">
        <v>106</v>
      </c>
      <c r="AE89" s="105"/>
      <c r="AF89" s="109" t="b">
        <f t="shared" si="2"/>
        <v>0</v>
      </c>
      <c r="AG89" s="109" cm="1">
        <f t="array" ref="AG89">_xlfn.SWITCH(C89,"PTA12",2,"PTD1",2,"PTD0",3,"PTC16",1,"PTD5",1,"PTA5",2,"PTD6",2,"PTE8",2,(LEN(N89)+LEN(N89)-LEN(SUBSTITUTE(N89,"ADC",))-LEN(SUBSTITUTE(N89,"CMP",)))/3)</f>
        <v>0</v>
      </c>
      <c r="AH89" s="109" t="str">
        <f t="shared" si="3"/>
        <v/>
      </c>
    </row>
    <row r="90" spans="1:34" s="89" customFormat="1" x14ac:dyDescent="0.3">
      <c r="A90" s="87"/>
      <c r="B90" s="25">
        <v>88</v>
      </c>
      <c r="C90" s="25" t="s">
        <v>530</v>
      </c>
      <c r="D90" s="25" t="s">
        <v>531</v>
      </c>
      <c r="E90" s="25" t="s">
        <v>531</v>
      </c>
      <c r="F90" s="27"/>
      <c r="G90" s="25" t="s">
        <v>294</v>
      </c>
      <c r="H90" s="25" t="s">
        <v>397</v>
      </c>
      <c r="I90" s="27"/>
      <c r="J90" s="27"/>
      <c r="K90" s="25" t="s">
        <v>273</v>
      </c>
      <c r="L90" s="27"/>
      <c r="M90" s="27"/>
      <c r="N90" s="25" t="s">
        <v>532</v>
      </c>
      <c r="O90" s="27"/>
      <c r="P90" s="27"/>
      <c r="Q90" s="25" t="s">
        <v>294</v>
      </c>
      <c r="R90" s="25" t="s">
        <v>397</v>
      </c>
      <c r="S90" s="27"/>
      <c r="T90" s="27"/>
      <c r="U90" s="25" t="s">
        <v>273</v>
      </c>
      <c r="V90" s="27"/>
      <c r="W90" s="27"/>
      <c r="X90" s="25" t="s">
        <v>297</v>
      </c>
      <c r="Y90" s="27"/>
      <c r="Z90" s="27"/>
      <c r="AA90" s="27"/>
      <c r="AB90" s="27"/>
      <c r="AC90" s="25" t="s">
        <v>533</v>
      </c>
      <c r="AD90" s="3" t="s">
        <v>36</v>
      </c>
      <c r="AE90" s="104" t="s">
        <v>503</v>
      </c>
      <c r="AF90" s="109" t="str">
        <f t="shared" si="2"/>
        <v>S</v>
      </c>
      <c r="AG90" s="109" cm="1">
        <f t="array" ref="AG90">_xlfn.SWITCH(C90,"PTA12",2,"PTD1",2,"PTD0",3,"PTC16",1,"PTD5",1,"PTA5",2,"PTD6",2,"PTE8",2,(LEN(N90)+LEN(N90)-LEN(SUBSTITUTE(N90,"ADC",))-LEN(SUBSTITUTE(N90,"CMP",)))/3)</f>
        <v>1</v>
      </c>
      <c r="AH90" s="109" t="str">
        <f t="shared" si="3"/>
        <v>ILKG_33/50_S1</v>
      </c>
    </row>
    <row r="91" spans="1:34" x14ac:dyDescent="0.3">
      <c r="A91" s="88">
        <v>41</v>
      </c>
      <c r="B91" s="25">
        <v>89</v>
      </c>
      <c r="C91" s="25" t="s">
        <v>534</v>
      </c>
      <c r="D91" s="25" t="s">
        <v>535</v>
      </c>
      <c r="E91" s="25" t="s">
        <v>535</v>
      </c>
      <c r="F91" s="25" t="s">
        <v>536</v>
      </c>
      <c r="G91" s="25" t="s">
        <v>250</v>
      </c>
      <c r="H91" s="27"/>
      <c r="I91" s="27"/>
      <c r="J91" s="25" t="s">
        <v>127</v>
      </c>
      <c r="K91" s="25" t="s">
        <v>319</v>
      </c>
      <c r="L91" s="27"/>
      <c r="M91" s="27"/>
      <c r="N91" s="25" t="s">
        <v>537</v>
      </c>
      <c r="O91" s="27"/>
      <c r="P91" s="25" t="s">
        <v>536</v>
      </c>
      <c r="Q91" s="25" t="s">
        <v>250</v>
      </c>
      <c r="R91" s="27"/>
      <c r="S91" s="27"/>
      <c r="T91" s="25" t="s">
        <v>127</v>
      </c>
      <c r="U91" s="25" t="s">
        <v>319</v>
      </c>
      <c r="V91" s="27"/>
      <c r="W91" s="27"/>
      <c r="X91" s="25" t="s">
        <v>322</v>
      </c>
      <c r="Y91" s="27"/>
      <c r="Z91" s="27"/>
      <c r="AA91" s="27"/>
      <c r="AB91" s="27"/>
      <c r="AC91" s="25" t="s">
        <v>538</v>
      </c>
      <c r="AD91" s="3" t="s">
        <v>36</v>
      </c>
      <c r="AE91" s="104" t="s">
        <v>451</v>
      </c>
      <c r="AF91" s="109" t="str">
        <f t="shared" si="2"/>
        <v>S</v>
      </c>
      <c r="AG91" s="109" cm="1">
        <f t="array" ref="AG91">_xlfn.SWITCH(C91,"PTA12",2,"PTD1",2,"PTD0",3,"PTC16",1,"PTD5",1,"PTA5",2,"PTD6",2,"PTE8",2,(LEN(N91)+LEN(N91)-LEN(SUBSTITUTE(N91,"ADC",))-LEN(SUBSTITUTE(N91,"CMP",)))/3)</f>
        <v>1</v>
      </c>
      <c r="AH91" s="109" t="str">
        <f t="shared" si="3"/>
        <v>ILKG_33/50_S1</v>
      </c>
    </row>
    <row r="92" spans="1:34" x14ac:dyDescent="0.3">
      <c r="A92" s="88">
        <v>42</v>
      </c>
      <c r="B92" s="25">
        <v>90</v>
      </c>
      <c r="C92" s="25" t="s">
        <v>539</v>
      </c>
      <c r="D92" s="25" t="s">
        <v>90</v>
      </c>
      <c r="E92" s="25" t="s">
        <v>540</v>
      </c>
      <c r="F92" s="25" t="s">
        <v>541</v>
      </c>
      <c r="G92" s="25" t="s">
        <v>255</v>
      </c>
      <c r="H92" s="25" t="s">
        <v>90</v>
      </c>
      <c r="I92" s="27"/>
      <c r="J92" s="25" t="s">
        <v>135</v>
      </c>
      <c r="K92" s="25" t="s">
        <v>327</v>
      </c>
      <c r="L92" s="27"/>
      <c r="M92" s="27"/>
      <c r="N92" s="25" t="s">
        <v>542</v>
      </c>
      <c r="O92" s="27"/>
      <c r="P92" s="25" t="s">
        <v>541</v>
      </c>
      <c r="Q92" s="25" t="s">
        <v>255</v>
      </c>
      <c r="R92" s="27"/>
      <c r="S92" s="27"/>
      <c r="T92" s="25" t="s">
        <v>135</v>
      </c>
      <c r="U92" s="25" t="s">
        <v>327</v>
      </c>
      <c r="V92" s="27"/>
      <c r="W92" s="27"/>
      <c r="X92" s="25" t="s">
        <v>215</v>
      </c>
      <c r="Y92" s="25" t="s">
        <v>329</v>
      </c>
      <c r="Z92" s="27"/>
      <c r="AA92" s="27"/>
      <c r="AB92" s="27"/>
      <c r="AC92" s="25" t="s">
        <v>543</v>
      </c>
      <c r="AD92" s="3" t="s">
        <v>170</v>
      </c>
      <c r="AE92" s="104" t="s">
        <v>451</v>
      </c>
      <c r="AF92" s="109" t="str">
        <f t="shared" si="2"/>
        <v>SP</v>
      </c>
      <c r="AG92" s="109" cm="1">
        <f t="array" ref="AG92">_xlfn.SWITCH(C92,"PTA12",2,"PTD1",2,"PTD0",3,"PTC16",1,"PTD5",1,"PTA5",2,"PTD6",2,"PTE8",2,(LEN(N92)+LEN(N92)-LEN(SUBSTITUTE(N92,"ADC",))-LEN(SUBSTITUTE(N92,"CMP",)))/3)</f>
        <v>2</v>
      </c>
      <c r="AH92" s="109" t="str">
        <f t="shared" si="3"/>
        <v>ILKG_33/50_SP2</v>
      </c>
    </row>
    <row r="93" spans="1:34" x14ac:dyDescent="0.3">
      <c r="A93" s="88">
        <v>43</v>
      </c>
      <c r="B93" s="25">
        <v>91</v>
      </c>
      <c r="C93" s="25" t="s">
        <v>544</v>
      </c>
      <c r="D93" s="25" t="s">
        <v>545</v>
      </c>
      <c r="E93" s="25" t="s">
        <v>545</v>
      </c>
      <c r="F93" s="25" t="s">
        <v>206</v>
      </c>
      <c r="G93" s="25" t="s">
        <v>261</v>
      </c>
      <c r="H93" s="25" t="s">
        <v>334</v>
      </c>
      <c r="I93" s="25" t="s">
        <v>56</v>
      </c>
      <c r="J93" s="25" t="s">
        <v>125</v>
      </c>
      <c r="K93" s="25" t="s">
        <v>436</v>
      </c>
      <c r="L93" s="27"/>
      <c r="M93" s="27"/>
      <c r="N93" s="25" t="s">
        <v>546</v>
      </c>
      <c r="O93" s="27"/>
      <c r="P93" s="27"/>
      <c r="Q93" s="25" t="s">
        <v>261</v>
      </c>
      <c r="R93" s="25" t="s">
        <v>334</v>
      </c>
      <c r="S93" s="25" t="s">
        <v>56</v>
      </c>
      <c r="T93" s="27"/>
      <c r="U93" s="25" t="s">
        <v>436</v>
      </c>
      <c r="V93" s="27"/>
      <c r="W93" s="27"/>
      <c r="X93" s="25" t="s">
        <v>338</v>
      </c>
      <c r="Y93" s="27"/>
      <c r="Z93" s="27"/>
      <c r="AA93" s="27"/>
      <c r="AB93" s="27"/>
      <c r="AC93" s="25" t="s">
        <v>547</v>
      </c>
      <c r="AD93" s="3" t="s">
        <v>170</v>
      </c>
      <c r="AE93" s="104" t="s">
        <v>503</v>
      </c>
      <c r="AF93" s="109" t="str">
        <f t="shared" si="2"/>
        <v>SP</v>
      </c>
      <c r="AG93" s="109" cm="1">
        <f t="array" ref="AG93">_xlfn.SWITCH(C93,"PTA12",2,"PTD1",2,"PTD0",3,"PTC16",1,"PTD5",1,"PTA5",2,"PTD6",2,"PTE8",2,(LEN(N93)+LEN(N93)-LEN(SUBSTITUTE(N93,"ADC",))-LEN(SUBSTITUTE(N93,"CMP",)))/3)</f>
        <v>1</v>
      </c>
      <c r="AH93" s="109" t="str">
        <f t="shared" si="3"/>
        <v>ILKG_33/50_SP1</v>
      </c>
    </row>
    <row r="94" spans="1:34" x14ac:dyDescent="0.3">
      <c r="A94" s="88">
        <v>44</v>
      </c>
      <c r="B94" s="25">
        <v>92</v>
      </c>
      <c r="C94" s="25" t="s">
        <v>548</v>
      </c>
      <c r="D94" s="25" t="s">
        <v>549</v>
      </c>
      <c r="E94" s="25" t="s">
        <v>550</v>
      </c>
      <c r="F94" s="27"/>
      <c r="G94" s="25" t="s">
        <v>267</v>
      </c>
      <c r="H94" s="27"/>
      <c r="I94" s="25" t="s">
        <v>67</v>
      </c>
      <c r="J94" s="27"/>
      <c r="K94" s="27"/>
      <c r="L94" s="25" t="s">
        <v>549</v>
      </c>
      <c r="M94" s="27"/>
      <c r="N94" s="25" t="s">
        <v>551</v>
      </c>
      <c r="O94" s="27"/>
      <c r="P94" s="27"/>
      <c r="Q94" s="25" t="s">
        <v>267</v>
      </c>
      <c r="R94" s="27"/>
      <c r="S94" s="25" t="s">
        <v>67</v>
      </c>
      <c r="T94" s="27"/>
      <c r="U94" s="27"/>
      <c r="V94" s="27"/>
      <c r="W94" s="27"/>
      <c r="X94" s="25" t="s">
        <v>347</v>
      </c>
      <c r="Y94" s="27"/>
      <c r="Z94" s="27"/>
      <c r="AA94" s="27"/>
      <c r="AB94" s="27"/>
      <c r="AC94" s="25" t="s">
        <v>552</v>
      </c>
      <c r="AD94" s="3" t="s">
        <v>155</v>
      </c>
      <c r="AE94" s="104" t="s">
        <v>457</v>
      </c>
      <c r="AF94" s="109" t="str">
        <f t="shared" si="2"/>
        <v>M</v>
      </c>
      <c r="AG94" s="109" cm="1">
        <f t="array" ref="AG94">_xlfn.SWITCH(C94,"PTA12",2,"PTD1",2,"PTD0",3,"PTC16",1,"PTD5",1,"PTA5",2,"PTD6",2,"PTE8",2,(LEN(N94)+LEN(N94)-LEN(SUBSTITUTE(N94,"ADC",))-LEN(SUBSTITUTE(N94,"CMP",)))/3)</f>
        <v>1</v>
      </c>
      <c r="AH94" s="109" t="str">
        <f t="shared" si="3"/>
        <v>ILKG_33/50_M1</v>
      </c>
    </row>
    <row r="95" spans="1:34" x14ac:dyDescent="0.3">
      <c r="A95" s="87"/>
      <c r="B95" s="25">
        <v>93</v>
      </c>
      <c r="C95" s="25" t="s">
        <v>553</v>
      </c>
      <c r="D95" s="25" t="s">
        <v>554</v>
      </c>
      <c r="E95" s="25" t="s">
        <v>554</v>
      </c>
      <c r="F95" s="27"/>
      <c r="G95" s="25" t="s">
        <v>149</v>
      </c>
      <c r="H95" s="25" t="s">
        <v>43</v>
      </c>
      <c r="I95" s="27"/>
      <c r="J95" s="27"/>
      <c r="K95" s="27"/>
      <c r="L95" s="27"/>
      <c r="M95" s="27"/>
      <c r="N95" s="25" t="s">
        <v>555</v>
      </c>
      <c r="O95" s="27"/>
      <c r="P95" s="27"/>
      <c r="Q95" s="25" t="s">
        <v>149</v>
      </c>
      <c r="R95" s="25" t="s">
        <v>43</v>
      </c>
      <c r="S95" s="27"/>
      <c r="T95" s="27"/>
      <c r="U95" s="27"/>
      <c r="V95" s="27"/>
      <c r="W95" s="27"/>
      <c r="X95" s="25" t="s">
        <v>251</v>
      </c>
      <c r="Y95" s="27"/>
      <c r="Z95" s="27"/>
      <c r="AA95" s="27"/>
      <c r="AB95" s="27"/>
      <c r="AC95" s="25" t="s">
        <v>556</v>
      </c>
      <c r="AD95" s="3" t="s">
        <v>36</v>
      </c>
      <c r="AE95" s="104" t="s">
        <v>451</v>
      </c>
      <c r="AF95" s="109" t="str">
        <f t="shared" si="2"/>
        <v>S</v>
      </c>
      <c r="AG95" s="109" cm="1">
        <f t="array" ref="AG95">_xlfn.SWITCH(C95,"PTA12",2,"PTD1",2,"PTD0",3,"PTC16",1,"PTD5",1,"PTA5",2,"PTD6",2,"PTE8",2,(LEN(N95)+LEN(N95)-LEN(SUBSTITUTE(N95,"ADC",))-LEN(SUBSTITUTE(N95,"CMP",)))/3)</f>
        <v>1</v>
      </c>
      <c r="AH95" s="109" t="str">
        <f t="shared" si="3"/>
        <v>ILKG_33/50_S1</v>
      </c>
    </row>
    <row r="96" spans="1:34" x14ac:dyDescent="0.3">
      <c r="A96" s="87"/>
      <c r="B96" s="25">
        <v>94</v>
      </c>
      <c r="C96" s="25" t="s">
        <v>557</v>
      </c>
      <c r="D96" s="25" t="s">
        <v>558</v>
      </c>
      <c r="E96" s="25" t="s">
        <v>558</v>
      </c>
      <c r="F96" s="27"/>
      <c r="G96" s="25" t="s">
        <v>141</v>
      </c>
      <c r="H96" s="25" t="s">
        <v>30</v>
      </c>
      <c r="I96" s="27"/>
      <c r="J96" s="27"/>
      <c r="K96" s="27"/>
      <c r="L96" s="27"/>
      <c r="M96" s="27"/>
      <c r="N96" s="25" t="s">
        <v>559</v>
      </c>
      <c r="O96" s="27"/>
      <c r="P96" s="27"/>
      <c r="Q96" s="25" t="s">
        <v>141</v>
      </c>
      <c r="R96" s="25" t="s">
        <v>30</v>
      </c>
      <c r="S96" s="27"/>
      <c r="T96" s="27"/>
      <c r="U96" s="27"/>
      <c r="V96" s="27"/>
      <c r="W96" s="27"/>
      <c r="X96" s="25" t="s">
        <v>256</v>
      </c>
      <c r="Y96" s="27"/>
      <c r="Z96" s="27"/>
      <c r="AA96" s="27"/>
      <c r="AB96" s="27"/>
      <c r="AC96" s="25" t="s">
        <v>560</v>
      </c>
      <c r="AD96" s="3" t="s">
        <v>36</v>
      </c>
      <c r="AE96" s="104" t="s">
        <v>457</v>
      </c>
      <c r="AF96" s="109" t="str">
        <f t="shared" si="2"/>
        <v>S</v>
      </c>
      <c r="AG96" s="109" cm="1">
        <f t="array" ref="AG96">_xlfn.SWITCH(C96,"PTA12",2,"PTD1",2,"PTD0",3,"PTC16",1,"PTD5",1,"PTA5",2,"PTD6",2,"PTE8",2,(LEN(N96)+LEN(N96)-LEN(SUBSTITUTE(N96,"ADC",))-LEN(SUBSTITUTE(N96,"CMP",)))/3)</f>
        <v>1</v>
      </c>
      <c r="AH96" s="109" t="str">
        <f t="shared" si="3"/>
        <v>ILKG_33/50_S1</v>
      </c>
    </row>
    <row r="97" spans="1:34" x14ac:dyDescent="0.3">
      <c r="A97" s="88">
        <v>45</v>
      </c>
      <c r="B97" s="25">
        <v>95</v>
      </c>
      <c r="C97" s="25" t="s">
        <v>561</v>
      </c>
      <c r="D97" s="25" t="s">
        <v>562</v>
      </c>
      <c r="E97" s="25" t="s">
        <v>562</v>
      </c>
      <c r="F97" s="27"/>
      <c r="G97" s="25" t="s">
        <v>66</v>
      </c>
      <c r="H97" s="27"/>
      <c r="I97" s="25" t="s">
        <v>91</v>
      </c>
      <c r="J97" s="27"/>
      <c r="K97" s="27"/>
      <c r="L97" s="27"/>
      <c r="M97" s="27"/>
      <c r="N97" s="25" t="s">
        <v>563</v>
      </c>
      <c r="O97" s="27"/>
      <c r="P97" s="27"/>
      <c r="Q97" s="25" t="s">
        <v>66</v>
      </c>
      <c r="R97" s="27"/>
      <c r="S97" s="25" t="s">
        <v>91</v>
      </c>
      <c r="T97" s="27"/>
      <c r="U97" s="27"/>
      <c r="V97" s="27"/>
      <c r="W97" s="27"/>
      <c r="X97" s="25" t="s">
        <v>564</v>
      </c>
      <c r="Y97" s="25" t="s">
        <v>565</v>
      </c>
      <c r="Z97" s="25" t="s">
        <v>238</v>
      </c>
      <c r="AA97" s="27"/>
      <c r="AB97" s="27"/>
      <c r="AC97" s="25" t="s">
        <v>566</v>
      </c>
      <c r="AD97" s="3" t="s">
        <v>170</v>
      </c>
      <c r="AE97" s="104" t="s">
        <v>451</v>
      </c>
      <c r="AF97" s="109" t="str">
        <f t="shared" si="2"/>
        <v>SP</v>
      </c>
      <c r="AG97" s="109" cm="1">
        <f t="array" ref="AG97">_xlfn.SWITCH(C97,"PTA12",2,"PTD1",2,"PTD0",3,"PTC16",1,"PTD5",1,"PTA5",2,"PTD6",2,"PTE8",2,(LEN(N97)+LEN(N97)-LEN(SUBSTITUTE(N97,"ADC",))-LEN(SUBSTITUTE(N97,"CMP",)))/3)</f>
        <v>1</v>
      </c>
      <c r="AH97" s="109" t="str">
        <f t="shared" si="3"/>
        <v>ILKG_33/50_SP1</v>
      </c>
    </row>
    <row r="98" spans="1:34" x14ac:dyDescent="0.3">
      <c r="A98" s="88">
        <v>46</v>
      </c>
      <c r="B98" s="25">
        <v>96</v>
      </c>
      <c r="C98" s="25" t="s">
        <v>567</v>
      </c>
      <c r="D98" s="25" t="s">
        <v>568</v>
      </c>
      <c r="E98" s="25" t="s">
        <v>568</v>
      </c>
      <c r="F98" s="27"/>
      <c r="G98" s="25" t="s">
        <v>312</v>
      </c>
      <c r="H98" s="27"/>
      <c r="I98" s="25" t="s">
        <v>79</v>
      </c>
      <c r="J98" s="27"/>
      <c r="K98" s="27"/>
      <c r="L98" s="27"/>
      <c r="M98" s="25" t="s">
        <v>260</v>
      </c>
      <c r="N98" s="27"/>
      <c r="O98" s="27"/>
      <c r="P98" s="27"/>
      <c r="Q98" s="25" t="s">
        <v>312</v>
      </c>
      <c r="R98" s="27"/>
      <c r="S98" s="25" t="s">
        <v>79</v>
      </c>
      <c r="T98" s="27"/>
      <c r="U98" s="27"/>
      <c r="V98" s="27"/>
      <c r="W98" s="25" t="s">
        <v>260</v>
      </c>
      <c r="X98" s="25" t="s">
        <v>513</v>
      </c>
      <c r="Y98" s="25" t="s">
        <v>569</v>
      </c>
      <c r="Z98" s="27"/>
      <c r="AA98" s="27"/>
      <c r="AB98" s="27"/>
      <c r="AC98" s="25" t="s">
        <v>570</v>
      </c>
      <c r="AD98" s="3" t="s">
        <v>170</v>
      </c>
      <c r="AE98" s="105"/>
      <c r="AF98" s="109" t="str">
        <f t="shared" si="2"/>
        <v>SP</v>
      </c>
      <c r="AG98" s="109" cm="1">
        <f t="array" ref="AG98">_xlfn.SWITCH(C98,"PTA12",2,"PTD1",2,"PTD0",3,"PTC16",1,"PTD5",1,"PTA5",2,"PTD6",2,"PTE8",2,(LEN(N98)+LEN(N98)-LEN(SUBSTITUTE(N98,"ADC",))-LEN(SUBSTITUTE(N98,"CMP",)))/3)</f>
        <v>0</v>
      </c>
      <c r="AH98" s="109" t="str">
        <f t="shared" si="3"/>
        <v>ILKG_33/50_SP0</v>
      </c>
    </row>
    <row r="99" spans="1:34" x14ac:dyDescent="0.3">
      <c r="A99" s="88">
        <v>47</v>
      </c>
      <c r="B99" s="25">
        <v>97</v>
      </c>
      <c r="C99" s="25" t="s">
        <v>571</v>
      </c>
      <c r="D99" s="25" t="s">
        <v>572</v>
      </c>
      <c r="E99" s="25" t="s">
        <v>572</v>
      </c>
      <c r="F99" s="27"/>
      <c r="G99" s="27"/>
      <c r="H99" s="27"/>
      <c r="I99" s="27"/>
      <c r="J99" s="27"/>
      <c r="K99" s="27"/>
      <c r="L99" s="25" t="s">
        <v>573</v>
      </c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5" t="s">
        <v>564</v>
      </c>
      <c r="Y99" s="27"/>
      <c r="Z99" s="27"/>
      <c r="AA99" s="27"/>
      <c r="AB99" s="27"/>
      <c r="AC99" s="25" t="s">
        <v>574</v>
      </c>
      <c r="AD99" s="3" t="s">
        <v>575</v>
      </c>
      <c r="AE99" s="105"/>
      <c r="AF99" s="109" t="str">
        <f t="shared" si="2"/>
        <v>SP</v>
      </c>
      <c r="AG99" s="109" cm="1">
        <f t="array" ref="AG99">_xlfn.SWITCH(C99,"PTA12",2,"PTD1",2,"PTD0",3,"PTC16",1,"PTD5",1,"PTA5",2,"PTD6",2,"PTE8",2,(LEN(N99)+LEN(N99)-LEN(SUBSTITUTE(N99,"ADC",))-LEN(SUBSTITUTE(N99,"CMP",)))/3)</f>
        <v>2</v>
      </c>
      <c r="AH99" s="109" t="str">
        <f t="shared" si="3"/>
        <v>ILKG_33/50_SP2</v>
      </c>
    </row>
    <row r="100" spans="1:34" x14ac:dyDescent="0.3">
      <c r="A100" s="88">
        <v>48</v>
      </c>
      <c r="B100" s="25">
        <v>98</v>
      </c>
      <c r="C100" s="25" t="s">
        <v>576</v>
      </c>
      <c r="D100" s="25" t="s">
        <v>577</v>
      </c>
      <c r="E100" s="25" t="s">
        <v>578</v>
      </c>
      <c r="F100" s="27"/>
      <c r="G100" s="27"/>
      <c r="H100" s="25" t="s">
        <v>118</v>
      </c>
      <c r="I100" s="25" t="s">
        <v>120</v>
      </c>
      <c r="J100" s="27"/>
      <c r="K100" s="27"/>
      <c r="L100" s="25" t="s">
        <v>577</v>
      </c>
      <c r="M100" s="25" t="s">
        <v>266</v>
      </c>
      <c r="N100" s="25" t="s">
        <v>579</v>
      </c>
      <c r="O100" s="27"/>
      <c r="P100" s="27"/>
      <c r="Q100" s="27"/>
      <c r="R100" s="25" t="s">
        <v>118</v>
      </c>
      <c r="S100" s="27"/>
      <c r="T100" s="27"/>
      <c r="U100" s="27"/>
      <c r="V100" s="25" t="s">
        <v>577</v>
      </c>
      <c r="W100" s="25" t="s">
        <v>266</v>
      </c>
      <c r="X100" s="25" t="s">
        <v>513</v>
      </c>
      <c r="Y100" s="27"/>
      <c r="Z100" s="27"/>
      <c r="AA100" s="27"/>
      <c r="AB100" s="27"/>
      <c r="AC100" s="25" t="s">
        <v>580</v>
      </c>
      <c r="AD100" s="3" t="s">
        <v>170</v>
      </c>
      <c r="AE100" s="104" t="s">
        <v>451</v>
      </c>
      <c r="AF100" s="109" t="str">
        <f t="shared" si="2"/>
        <v>SP</v>
      </c>
      <c r="AG100" s="109" cm="1">
        <f t="array" ref="AG100">_xlfn.SWITCH(C100,"PTA12",2,"PTD1",2,"PTD0",3,"PTC16",1,"PTD5",1,"PTA5",2,"PTD6",2,"PTE8",2,(LEN(N100)+LEN(N100)-LEN(SUBSTITUTE(N100,"ADC",))-LEN(SUBSTITUTE(N100,"CMP",)))/3)</f>
        <v>1</v>
      </c>
      <c r="AH100" s="109" t="str">
        <f t="shared" si="3"/>
        <v>ILKG_33/50_SP1</v>
      </c>
    </row>
    <row r="101" spans="1:34" x14ac:dyDescent="0.3">
      <c r="A101" s="87"/>
      <c r="B101" s="25">
        <v>99</v>
      </c>
      <c r="C101" s="25" t="s">
        <v>581</v>
      </c>
      <c r="D101" s="25" t="s">
        <v>582</v>
      </c>
      <c r="E101" s="25" t="s">
        <v>582</v>
      </c>
      <c r="F101" s="27"/>
      <c r="G101" s="25" t="s">
        <v>126</v>
      </c>
      <c r="H101" s="25" t="s">
        <v>76</v>
      </c>
      <c r="I101" s="25" t="s">
        <v>128</v>
      </c>
      <c r="J101" s="27"/>
      <c r="K101" s="25" t="s">
        <v>134</v>
      </c>
      <c r="L101" s="27"/>
      <c r="M101" s="27"/>
      <c r="N101" s="25" t="s">
        <v>583</v>
      </c>
      <c r="O101" s="27"/>
      <c r="P101" s="27"/>
      <c r="Q101" s="25" t="s">
        <v>126</v>
      </c>
      <c r="R101" s="25" t="s">
        <v>76</v>
      </c>
      <c r="S101" s="25" t="s">
        <v>128</v>
      </c>
      <c r="T101" s="27"/>
      <c r="U101" s="25" t="s">
        <v>134</v>
      </c>
      <c r="V101" s="27"/>
      <c r="W101" s="27"/>
      <c r="X101" s="25" t="s">
        <v>372</v>
      </c>
      <c r="Y101" s="27"/>
      <c r="Z101" s="27"/>
      <c r="AA101" s="27"/>
      <c r="AB101" s="27"/>
      <c r="AC101" s="25" t="s">
        <v>584</v>
      </c>
      <c r="AD101" s="3" t="s">
        <v>36</v>
      </c>
      <c r="AE101" s="104" t="s">
        <v>457</v>
      </c>
      <c r="AF101" s="109" t="str">
        <f t="shared" si="2"/>
        <v>S</v>
      </c>
      <c r="AG101" s="109" cm="1">
        <f t="array" ref="AG101">_xlfn.SWITCH(C101,"PTA12",2,"PTD1",2,"PTD0",3,"PTC16",1,"PTD5",1,"PTA5",2,"PTD6",2,"PTE8",2,(LEN(N101)+LEN(N101)-LEN(SUBSTITUTE(N101,"ADC",))-LEN(SUBSTITUTE(N101,"CMP",)))/3)</f>
        <v>1</v>
      </c>
      <c r="AH101" s="109" t="str">
        <f t="shared" si="3"/>
        <v>ILKG_33/50_S1</v>
      </c>
    </row>
    <row r="102" spans="1:34" x14ac:dyDescent="0.3">
      <c r="A102" s="87"/>
      <c r="B102" s="25">
        <v>100</v>
      </c>
      <c r="C102" s="25" t="s">
        <v>585</v>
      </c>
      <c r="D102" s="25" t="s">
        <v>586</v>
      </c>
      <c r="E102" s="25" t="s">
        <v>586</v>
      </c>
      <c r="F102" s="27"/>
      <c r="G102" s="25" t="s">
        <v>227</v>
      </c>
      <c r="H102" s="25" t="s">
        <v>303</v>
      </c>
      <c r="I102" s="25" t="s">
        <v>118</v>
      </c>
      <c r="J102" s="27"/>
      <c r="K102" s="27"/>
      <c r="L102" s="27"/>
      <c r="M102" s="27"/>
      <c r="N102" s="25" t="s">
        <v>587</v>
      </c>
      <c r="O102" s="27"/>
      <c r="P102" s="27"/>
      <c r="Q102" s="25" t="s">
        <v>227</v>
      </c>
      <c r="R102" s="25" t="s">
        <v>303</v>
      </c>
      <c r="S102" s="25" t="s">
        <v>118</v>
      </c>
      <c r="T102" s="27"/>
      <c r="U102" s="27"/>
      <c r="V102" s="27"/>
      <c r="W102" s="27"/>
      <c r="X102" s="25" t="s">
        <v>377</v>
      </c>
      <c r="Y102" s="25" t="s">
        <v>137</v>
      </c>
      <c r="Z102" s="27"/>
      <c r="AA102" s="27"/>
      <c r="AB102" s="27"/>
      <c r="AC102" s="25" t="s">
        <v>588</v>
      </c>
      <c r="AD102" s="7" t="s">
        <v>36</v>
      </c>
      <c r="AE102" s="107"/>
      <c r="AF102" s="109" t="str">
        <f t="shared" si="2"/>
        <v>S</v>
      </c>
      <c r="AG102" s="109" cm="1">
        <f t="array" ref="AG102">_xlfn.SWITCH(C102,"PTA12",2,"PTD1",2,"PTD0",3,"PTC16",1,"PTD5",1,"PTA5",2,"PTD6",2,"PTE8",2,(LEN(N102)+LEN(N102)-LEN(SUBSTITUTE(N102,"ADC",))-LEN(SUBSTITUTE(N102,"CMP",)))/3)</f>
        <v>1</v>
      </c>
      <c r="AH102" s="109" t="str">
        <f t="shared" si="3"/>
        <v>ILKG_33/50_S1</v>
      </c>
    </row>
    <row r="103" spans="1:34" x14ac:dyDescent="0.3">
      <c r="A103" s="90">
        <v>48</v>
      </c>
      <c r="B103" s="29">
        <v>100</v>
      </c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E103" s="106"/>
      <c r="AF103" s="109" t="b">
        <f t="shared" si="2"/>
        <v>0</v>
      </c>
      <c r="AG103" s="109" cm="1">
        <f t="array" ref="AG103">_xlfn.SWITCH(C103,"PTA12",2,"PTD1",2,"PTD0",3,"PTC16",1,"PTD5",1,"PTA5",2,"PTD6",2,"PTE8",2,(LEN(N103)+LEN(N103)-LEN(SUBSTITUTE(N103,"ADC",))-LEN(SUBSTITUTE(N103,"CMP",)))/3)</f>
        <v>0</v>
      </c>
      <c r="AH103" s="109" t="str">
        <f t="shared" si="3"/>
        <v/>
      </c>
    </row>
    <row r="104" spans="1:34" x14ac:dyDescent="0.3">
      <c r="A104" s="24"/>
      <c r="B104" s="1"/>
      <c r="C104" s="11" t="s">
        <v>589</v>
      </c>
      <c r="D104" s="11" t="s">
        <v>590</v>
      </c>
      <c r="E104" s="11" t="s">
        <v>590</v>
      </c>
      <c r="F104" s="1"/>
      <c r="G104" s="11" t="s">
        <v>181</v>
      </c>
      <c r="H104" s="1"/>
      <c r="I104" s="1"/>
      <c r="J104" s="1"/>
      <c r="K104" s="11" t="s">
        <v>65</v>
      </c>
      <c r="L104" s="1"/>
      <c r="M104" s="11" t="s">
        <v>489</v>
      </c>
      <c r="N104" s="1"/>
      <c r="O104" s="1"/>
      <c r="P104" s="1"/>
      <c r="Q104" s="11" t="s">
        <v>181</v>
      </c>
      <c r="R104" s="1"/>
      <c r="S104" s="1"/>
      <c r="T104" s="1"/>
      <c r="U104" s="11" t="s">
        <v>65</v>
      </c>
      <c r="V104" s="1"/>
      <c r="W104" s="1"/>
      <c r="X104" s="1"/>
      <c r="Y104" s="1"/>
      <c r="Z104" s="1"/>
      <c r="AA104" s="1"/>
      <c r="AB104" s="1"/>
      <c r="AC104" s="11" t="s">
        <v>591</v>
      </c>
      <c r="AD104" s="3" t="s">
        <v>36</v>
      </c>
      <c r="AE104" s="108"/>
      <c r="AF104" s="109" t="str">
        <f t="shared" si="2"/>
        <v>S</v>
      </c>
      <c r="AG104" s="109" cm="1">
        <f t="array" ref="AG104">_xlfn.SWITCH(C104,"PTA12",2,"PTD1",2,"PTD0",3,"PTC16",1,"PTD5",1,"PTA5",2,"PTD6",2,"PTE8",2,(LEN(N104)+LEN(N104)-LEN(SUBSTITUTE(N104,"ADC",))-LEN(SUBSTITUTE(N104,"CMP",)))/3)</f>
        <v>0</v>
      </c>
      <c r="AH104" s="109" t="str">
        <f t="shared" si="3"/>
        <v>ILKG_33/50_S0</v>
      </c>
    </row>
    <row r="105" spans="1:34" x14ac:dyDescent="0.3">
      <c r="A105" s="91"/>
      <c r="B105" s="91"/>
      <c r="C105" s="6" t="s">
        <v>111</v>
      </c>
      <c r="D105" s="6" t="s">
        <v>111</v>
      </c>
      <c r="E105" s="91"/>
      <c r="F105" s="91"/>
      <c r="G105" s="91"/>
      <c r="H105" s="91"/>
      <c r="I105" s="91"/>
      <c r="J105" s="91"/>
      <c r="K105" s="91"/>
      <c r="L105" s="91"/>
      <c r="M105" s="91"/>
      <c r="N105" s="6" t="s">
        <v>111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92" t="s">
        <v>111</v>
      </c>
      <c r="AD105" s="4" t="s">
        <v>108</v>
      </c>
      <c r="AE105" s="9"/>
      <c r="AF105" s="109" t="b">
        <f t="shared" si="2"/>
        <v>0</v>
      </c>
      <c r="AG105" s="109" cm="1">
        <f t="array" ref="AG105">_xlfn.SWITCH(C105,"PTA12",2,"PTD1",2,"PTD0",3,"PTC16",1,"PTD5",1,"PTA5",2,"PTD6",2,"PTE8",2,(LEN(N105)+LEN(N105)-LEN(SUBSTITUTE(N105,"ADC",))-LEN(SUBSTITUTE(N105,"CMP",)))/3)</f>
        <v>0</v>
      </c>
      <c r="AH105" s="109" t="str">
        <f t="shared" si="3"/>
        <v/>
      </c>
    </row>
  </sheetData>
  <autoFilter ref="A2:AH105" xr:uid="{6220C6BB-EE7E-4351-A287-5296EE6198F7}"/>
  <mergeCells count="2">
    <mergeCell ref="E1:M1"/>
    <mergeCell ref="O1:AB1"/>
  </mergeCells>
  <phoneticPr fontId="2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C6E-8723-47A8-8556-A4F01222EC6D}">
  <sheetPr>
    <tabColor theme="0" tint="-0.34998626667073579"/>
  </sheetPr>
  <dimension ref="A1:AD948"/>
  <sheetViews>
    <sheetView tabSelected="1" topLeftCell="A204" zoomScale="85" zoomScaleNormal="85" workbookViewId="0">
      <selection activeCell="F260" sqref="F260"/>
    </sheetView>
  </sheetViews>
  <sheetFormatPr defaultColWidth="8.6640625" defaultRowHeight="14.4" x14ac:dyDescent="0.3"/>
  <cols>
    <col min="1" max="1" width="7" style="26" customWidth="1"/>
    <col min="2" max="2" width="15.33203125" style="26" customWidth="1"/>
    <col min="3" max="3" width="11.6640625" style="26" customWidth="1"/>
    <col min="4" max="4" width="28.109375" style="26" customWidth="1"/>
    <col min="5" max="5" width="18.6640625" style="26" customWidth="1"/>
    <col min="6" max="6" width="44.6640625" style="26" customWidth="1"/>
    <col min="7" max="7" width="4.5546875" style="26" customWidth="1"/>
    <col min="8" max="8" width="17.5546875" style="26" customWidth="1"/>
    <col min="9" max="9" width="4.5546875" style="26" customWidth="1"/>
    <col min="10" max="10" width="3.44140625" style="26" customWidth="1"/>
    <col min="11" max="11" width="20" style="26" customWidth="1"/>
    <col min="12" max="12" width="24.6640625" style="26" customWidth="1"/>
    <col min="13" max="13" width="25.88671875" style="26" customWidth="1"/>
    <col min="14" max="17" width="27" style="26" customWidth="1"/>
    <col min="18" max="27" width="2.33203125" style="26" customWidth="1"/>
    <col min="28" max="28" width="5.88671875" style="26" customWidth="1"/>
    <col min="29" max="30" width="41.109375" style="26" customWidth="1"/>
    <col min="31" max="16384" width="8.6640625" style="26"/>
  </cols>
  <sheetData>
    <row r="1" spans="1:30" ht="33" customHeight="1" thickTop="1" thickBot="1" x14ac:dyDescent="0.35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34" t="s">
        <v>4</v>
      </c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12"/>
      <c r="AD1" s="113"/>
    </row>
    <row r="2" spans="1:30" ht="145.80000000000001" thickBot="1" x14ac:dyDescent="0.35">
      <c r="A2" s="114" t="s">
        <v>592</v>
      </c>
      <c r="B2" s="115" t="s">
        <v>593</v>
      </c>
      <c r="C2" s="115" t="s">
        <v>594</v>
      </c>
      <c r="D2" s="115" t="s">
        <v>595</v>
      </c>
      <c r="E2" s="115" t="s">
        <v>596</v>
      </c>
      <c r="F2" s="115" t="s">
        <v>3</v>
      </c>
      <c r="G2" s="116" t="s">
        <v>597</v>
      </c>
      <c r="H2" s="115" t="s">
        <v>598</v>
      </c>
      <c r="I2" s="116" t="s">
        <v>1296</v>
      </c>
      <c r="J2" s="116" t="s">
        <v>1297</v>
      </c>
      <c r="K2" s="115" t="s">
        <v>599</v>
      </c>
      <c r="L2" s="10" t="s">
        <v>600</v>
      </c>
      <c r="M2" s="10" t="s">
        <v>601</v>
      </c>
      <c r="N2" s="10" t="s">
        <v>602</v>
      </c>
      <c r="O2" s="10" t="s">
        <v>603</v>
      </c>
      <c r="P2" s="10" t="s">
        <v>604</v>
      </c>
      <c r="Q2" s="10" t="s">
        <v>605</v>
      </c>
      <c r="R2" s="116" t="s">
        <v>606</v>
      </c>
      <c r="S2" s="116" t="s">
        <v>607</v>
      </c>
      <c r="T2" s="116" t="s">
        <v>608</v>
      </c>
      <c r="U2" s="116" t="s">
        <v>609</v>
      </c>
      <c r="V2" s="116" t="s">
        <v>610</v>
      </c>
      <c r="W2" s="116" t="s">
        <v>611</v>
      </c>
      <c r="X2" s="116" t="s">
        <v>612</v>
      </c>
      <c r="Y2" s="116" t="s">
        <v>613</v>
      </c>
      <c r="Z2" s="116" t="s">
        <v>614</v>
      </c>
      <c r="AA2" s="116" t="s">
        <v>615</v>
      </c>
      <c r="AB2" s="116" t="s">
        <v>616</v>
      </c>
      <c r="AC2" s="115" t="s">
        <v>617</v>
      </c>
      <c r="AD2" s="117" t="s">
        <v>618</v>
      </c>
    </row>
    <row r="3" spans="1:30" ht="15" thickTop="1" x14ac:dyDescent="0.3">
      <c r="A3" s="30" t="s">
        <v>492</v>
      </c>
      <c r="B3" s="31" t="s">
        <v>619</v>
      </c>
      <c r="C3" s="32" t="s">
        <v>620</v>
      </c>
      <c r="D3" s="32" t="s">
        <v>493</v>
      </c>
      <c r="E3" s="32" t="s">
        <v>621</v>
      </c>
      <c r="F3" s="32"/>
      <c r="G3" s="32" t="s">
        <v>622</v>
      </c>
      <c r="H3" s="31" t="s">
        <v>623</v>
      </c>
      <c r="I3" s="31">
        <v>79</v>
      </c>
      <c r="J3" s="31">
        <v>38</v>
      </c>
      <c r="K3" s="31" t="s">
        <v>105</v>
      </c>
      <c r="L3" s="31" t="s">
        <v>624</v>
      </c>
      <c r="M3" s="31" t="s">
        <v>624</v>
      </c>
      <c r="N3" s="31" t="s">
        <v>624</v>
      </c>
      <c r="O3" s="31" t="s">
        <v>624</v>
      </c>
      <c r="P3" s="31" t="s">
        <v>624</v>
      </c>
      <c r="Q3" s="31" t="s">
        <v>624</v>
      </c>
      <c r="R3" s="31" t="s">
        <v>625</v>
      </c>
      <c r="S3" s="31" t="s">
        <v>625</v>
      </c>
      <c r="T3" s="31" t="s">
        <v>625</v>
      </c>
      <c r="U3" s="31" t="s">
        <v>625</v>
      </c>
      <c r="V3" s="31" t="s">
        <v>626</v>
      </c>
      <c r="W3" s="31" t="s">
        <v>625</v>
      </c>
      <c r="X3" s="31" t="s">
        <v>625</v>
      </c>
      <c r="Y3" s="31" t="s">
        <v>626</v>
      </c>
      <c r="Z3" s="31" t="s">
        <v>626</v>
      </c>
      <c r="AA3" s="31" t="s">
        <v>625</v>
      </c>
      <c r="AB3" s="31" t="s">
        <v>627</v>
      </c>
      <c r="AC3" s="31" t="s">
        <v>628</v>
      </c>
      <c r="AD3" s="33" t="s">
        <v>629</v>
      </c>
    </row>
    <row r="4" spans="1:30" x14ac:dyDescent="0.3">
      <c r="A4" s="34"/>
      <c r="B4" s="35"/>
      <c r="C4" s="25" t="s">
        <v>630</v>
      </c>
      <c r="D4" s="25" t="s">
        <v>55</v>
      </c>
      <c r="E4" s="25" t="s">
        <v>631</v>
      </c>
      <c r="F4" s="25" t="s">
        <v>632</v>
      </c>
      <c r="G4" s="25" t="s">
        <v>633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6"/>
    </row>
    <row r="5" spans="1:30" x14ac:dyDescent="0.3">
      <c r="A5" s="34"/>
      <c r="B5" s="35"/>
      <c r="C5" s="25" t="s">
        <v>634</v>
      </c>
      <c r="D5" s="25" t="s">
        <v>494</v>
      </c>
      <c r="E5" s="25" t="s">
        <v>635</v>
      </c>
      <c r="F5" s="25" t="s">
        <v>636</v>
      </c>
      <c r="G5" s="25" t="s">
        <v>633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6"/>
    </row>
    <row r="6" spans="1:30" x14ac:dyDescent="0.3">
      <c r="A6" s="34"/>
      <c r="B6" s="35"/>
      <c r="C6" s="25" t="s">
        <v>637</v>
      </c>
      <c r="D6" s="25" t="s">
        <v>43</v>
      </c>
      <c r="E6" s="25" t="s">
        <v>638</v>
      </c>
      <c r="F6" s="25" t="s">
        <v>639</v>
      </c>
      <c r="G6" s="25" t="s">
        <v>633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/>
    </row>
    <row r="7" spans="1:30" x14ac:dyDescent="0.3">
      <c r="A7" s="34"/>
      <c r="B7" s="35"/>
      <c r="C7" s="25" t="s">
        <v>640</v>
      </c>
      <c r="D7" s="25" t="s">
        <v>344</v>
      </c>
      <c r="E7" s="25" t="s">
        <v>641</v>
      </c>
      <c r="F7" s="25" t="s">
        <v>632</v>
      </c>
      <c r="G7" s="25" t="s">
        <v>633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6"/>
    </row>
    <row r="8" spans="1:30" x14ac:dyDescent="0.3">
      <c r="A8" s="34"/>
      <c r="B8" s="35"/>
      <c r="C8" s="25" t="s">
        <v>642</v>
      </c>
      <c r="D8" s="25" t="s">
        <v>495</v>
      </c>
      <c r="E8" s="25" t="s">
        <v>643</v>
      </c>
      <c r="F8" s="25" t="s">
        <v>644</v>
      </c>
      <c r="G8" s="25" t="s">
        <v>633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6"/>
    </row>
    <row r="9" spans="1:30" x14ac:dyDescent="0.3">
      <c r="A9" s="34"/>
      <c r="B9" s="37"/>
      <c r="C9" s="25" t="s">
        <v>645</v>
      </c>
      <c r="D9" s="25" t="s">
        <v>496</v>
      </c>
      <c r="E9" s="25" t="s">
        <v>646</v>
      </c>
      <c r="F9" s="25" t="s">
        <v>647</v>
      </c>
      <c r="G9" s="25" t="s">
        <v>633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6"/>
    </row>
    <row r="10" spans="1:30" x14ac:dyDescent="0.3">
      <c r="A10" s="34"/>
      <c r="B10" s="25" t="s">
        <v>626</v>
      </c>
      <c r="C10" s="25" t="s">
        <v>626</v>
      </c>
      <c r="D10" s="25" t="s">
        <v>497</v>
      </c>
      <c r="E10" s="25" t="s">
        <v>648</v>
      </c>
      <c r="F10" s="25" t="s">
        <v>649</v>
      </c>
      <c r="G10" s="25" t="s">
        <v>650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6"/>
    </row>
    <row r="11" spans="1:30" x14ac:dyDescent="0.3">
      <c r="A11" s="34"/>
      <c r="B11" s="25" t="s">
        <v>651</v>
      </c>
      <c r="C11" s="25" t="s">
        <v>652</v>
      </c>
      <c r="D11" s="25" t="s">
        <v>256</v>
      </c>
      <c r="E11" s="25" t="s">
        <v>621</v>
      </c>
      <c r="F11" s="25" t="s">
        <v>653</v>
      </c>
      <c r="G11" s="25" t="s">
        <v>650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6"/>
    </row>
    <row r="12" spans="1:30" x14ac:dyDescent="0.3">
      <c r="A12" s="34"/>
      <c r="B12" s="25" t="s">
        <v>654</v>
      </c>
      <c r="C12" s="25" t="s">
        <v>630</v>
      </c>
      <c r="D12" s="25" t="s">
        <v>55</v>
      </c>
      <c r="E12" s="25" t="s">
        <v>631</v>
      </c>
      <c r="F12" s="25" t="s">
        <v>632</v>
      </c>
      <c r="G12" s="25" t="s">
        <v>650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6"/>
    </row>
    <row r="13" spans="1:30" x14ac:dyDescent="0.3">
      <c r="A13" s="34"/>
      <c r="B13" s="25" t="s">
        <v>655</v>
      </c>
      <c r="C13" s="25" t="s">
        <v>634</v>
      </c>
      <c r="D13" s="25" t="s">
        <v>344</v>
      </c>
      <c r="E13" s="25" t="s">
        <v>641</v>
      </c>
      <c r="F13" s="25" t="s">
        <v>632</v>
      </c>
      <c r="G13" s="25" t="s">
        <v>650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6"/>
    </row>
    <row r="14" spans="1:30" x14ac:dyDescent="0.3">
      <c r="A14" s="34"/>
      <c r="B14" s="25" t="s">
        <v>656</v>
      </c>
      <c r="C14" s="25" t="s">
        <v>630</v>
      </c>
      <c r="D14" s="25" t="s">
        <v>43</v>
      </c>
      <c r="E14" s="25" t="s">
        <v>638</v>
      </c>
      <c r="F14" s="25" t="s">
        <v>639</v>
      </c>
      <c r="G14" s="25" t="s">
        <v>650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</row>
    <row r="15" spans="1:30" x14ac:dyDescent="0.3">
      <c r="A15" s="34"/>
      <c r="B15" s="25" t="s">
        <v>657</v>
      </c>
      <c r="C15" s="25" t="s">
        <v>652</v>
      </c>
      <c r="D15" s="25" t="s">
        <v>495</v>
      </c>
      <c r="E15" s="25" t="s">
        <v>643</v>
      </c>
      <c r="F15" s="25" t="s">
        <v>644</v>
      </c>
      <c r="G15" s="25" t="s">
        <v>650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6"/>
    </row>
    <row r="16" spans="1:30" ht="15" thickBot="1" x14ac:dyDescent="0.35">
      <c r="A16" s="38"/>
      <c r="B16" s="39" t="s">
        <v>658</v>
      </c>
      <c r="C16" s="39" t="s">
        <v>652</v>
      </c>
      <c r="D16" s="39" t="s">
        <v>378</v>
      </c>
      <c r="E16" s="39" t="s">
        <v>659</v>
      </c>
      <c r="F16" s="39" t="s">
        <v>660</v>
      </c>
      <c r="G16" s="39" t="s">
        <v>650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1"/>
    </row>
    <row r="17" spans="1:30" x14ac:dyDescent="0.3">
      <c r="A17" s="30" t="s">
        <v>485</v>
      </c>
      <c r="B17" s="31" t="s">
        <v>661</v>
      </c>
      <c r="C17" s="32" t="s">
        <v>620</v>
      </c>
      <c r="D17" s="32" t="s">
        <v>486</v>
      </c>
      <c r="E17" s="32" t="s">
        <v>621</v>
      </c>
      <c r="F17" s="32"/>
      <c r="G17" s="32" t="s">
        <v>622</v>
      </c>
      <c r="H17" s="31" t="s">
        <v>623</v>
      </c>
      <c r="I17" s="31">
        <v>78</v>
      </c>
      <c r="J17" s="31">
        <v>37</v>
      </c>
      <c r="K17" s="31" t="s">
        <v>105</v>
      </c>
      <c r="L17" s="31" t="s">
        <v>624</v>
      </c>
      <c r="M17" s="31" t="s">
        <v>624</v>
      </c>
      <c r="N17" s="31" t="s">
        <v>624</v>
      </c>
      <c r="O17" s="31" t="s">
        <v>624</v>
      </c>
      <c r="P17" s="31" t="s">
        <v>624</v>
      </c>
      <c r="Q17" s="31" t="s">
        <v>624</v>
      </c>
      <c r="R17" s="31" t="s">
        <v>625</v>
      </c>
      <c r="S17" s="31" t="s">
        <v>625</v>
      </c>
      <c r="T17" s="31" t="s">
        <v>625</v>
      </c>
      <c r="U17" s="31" t="s">
        <v>625</v>
      </c>
      <c r="V17" s="31" t="s">
        <v>626</v>
      </c>
      <c r="W17" s="31" t="s">
        <v>625</v>
      </c>
      <c r="X17" s="31" t="s">
        <v>625</v>
      </c>
      <c r="Y17" s="31" t="s">
        <v>626</v>
      </c>
      <c r="Z17" s="31" t="s">
        <v>626</v>
      </c>
      <c r="AA17" s="31" t="s">
        <v>625</v>
      </c>
      <c r="AB17" s="31" t="s">
        <v>627</v>
      </c>
      <c r="AC17" s="31" t="s">
        <v>628</v>
      </c>
      <c r="AD17" s="33" t="s">
        <v>629</v>
      </c>
    </row>
    <row r="18" spans="1:30" x14ac:dyDescent="0.3">
      <c r="A18" s="34"/>
      <c r="B18" s="35"/>
      <c r="C18" s="25" t="s">
        <v>630</v>
      </c>
      <c r="D18" s="25" t="s">
        <v>302</v>
      </c>
      <c r="E18" s="25" t="s">
        <v>631</v>
      </c>
      <c r="F18" s="25" t="s">
        <v>632</v>
      </c>
      <c r="G18" s="25" t="s">
        <v>633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6"/>
    </row>
    <row r="19" spans="1:30" x14ac:dyDescent="0.3">
      <c r="A19" s="34"/>
      <c r="B19" s="35"/>
      <c r="C19" s="25" t="s">
        <v>634</v>
      </c>
      <c r="D19" s="25" t="s">
        <v>368</v>
      </c>
      <c r="E19" s="25" t="s">
        <v>659</v>
      </c>
      <c r="F19" s="25" t="s">
        <v>662</v>
      </c>
      <c r="G19" s="25" t="s">
        <v>633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6"/>
    </row>
    <row r="20" spans="1:30" x14ac:dyDescent="0.3">
      <c r="A20" s="34"/>
      <c r="B20" s="35"/>
      <c r="C20" s="25" t="s">
        <v>637</v>
      </c>
      <c r="D20" s="25" t="s">
        <v>30</v>
      </c>
      <c r="E20" s="25" t="s">
        <v>638</v>
      </c>
      <c r="F20" s="25" t="s">
        <v>639</v>
      </c>
      <c r="G20" s="25" t="s">
        <v>633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6"/>
    </row>
    <row r="21" spans="1:30" x14ac:dyDescent="0.3">
      <c r="A21" s="34"/>
      <c r="B21" s="35"/>
      <c r="C21" s="25" t="s">
        <v>640</v>
      </c>
      <c r="D21" s="25" t="s">
        <v>487</v>
      </c>
      <c r="E21" s="25" t="s">
        <v>635</v>
      </c>
      <c r="F21" s="25" t="s">
        <v>636</v>
      </c>
      <c r="G21" s="25" t="s">
        <v>633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6"/>
    </row>
    <row r="22" spans="1:30" x14ac:dyDescent="0.3">
      <c r="A22" s="34"/>
      <c r="B22" s="35"/>
      <c r="C22" s="25" t="s">
        <v>642</v>
      </c>
      <c r="D22" s="25" t="s">
        <v>488</v>
      </c>
      <c r="E22" s="25" t="s">
        <v>643</v>
      </c>
      <c r="F22" s="25" t="s">
        <v>663</v>
      </c>
      <c r="G22" s="25" t="s">
        <v>633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6"/>
    </row>
    <row r="23" spans="1:30" x14ac:dyDescent="0.3">
      <c r="A23" s="34"/>
      <c r="B23" s="37"/>
      <c r="C23" s="25" t="s">
        <v>645</v>
      </c>
      <c r="D23" s="25" t="s">
        <v>489</v>
      </c>
      <c r="E23" s="25" t="s">
        <v>646</v>
      </c>
      <c r="F23" s="25" t="s">
        <v>647</v>
      </c>
      <c r="G23" s="25" t="s">
        <v>633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 x14ac:dyDescent="0.3">
      <c r="A24" s="34"/>
      <c r="B24" s="25" t="s">
        <v>626</v>
      </c>
      <c r="C24" s="25" t="s">
        <v>626</v>
      </c>
      <c r="D24" s="25" t="s">
        <v>664</v>
      </c>
      <c r="E24" s="25" t="s">
        <v>648</v>
      </c>
      <c r="F24" s="25" t="s">
        <v>649</v>
      </c>
      <c r="G24" s="25" t="s">
        <v>650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6"/>
    </row>
    <row r="25" spans="1:30" x14ac:dyDescent="0.3">
      <c r="A25" s="34"/>
      <c r="B25" s="25" t="s">
        <v>626</v>
      </c>
      <c r="C25" s="25" t="s">
        <v>626</v>
      </c>
      <c r="D25" s="25" t="s">
        <v>665</v>
      </c>
      <c r="E25" s="25" t="s">
        <v>666</v>
      </c>
      <c r="F25" s="25" t="s">
        <v>667</v>
      </c>
      <c r="G25" s="25" t="s">
        <v>650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6"/>
    </row>
    <row r="26" spans="1:30" x14ac:dyDescent="0.3">
      <c r="A26" s="34"/>
      <c r="B26" s="25" t="s">
        <v>668</v>
      </c>
      <c r="C26" s="25" t="s">
        <v>652</v>
      </c>
      <c r="D26" s="25" t="s">
        <v>251</v>
      </c>
      <c r="E26" s="25" t="s">
        <v>621</v>
      </c>
      <c r="F26" s="25" t="s">
        <v>653</v>
      </c>
      <c r="G26" s="25" t="s">
        <v>650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6"/>
    </row>
    <row r="27" spans="1:30" x14ac:dyDescent="0.3">
      <c r="A27" s="34"/>
      <c r="B27" s="25" t="s">
        <v>669</v>
      </c>
      <c r="C27" s="25" t="s">
        <v>652</v>
      </c>
      <c r="D27" s="25" t="s">
        <v>302</v>
      </c>
      <c r="E27" s="25" t="s">
        <v>631</v>
      </c>
      <c r="F27" s="25" t="s">
        <v>632</v>
      </c>
      <c r="G27" s="25" t="s">
        <v>650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6"/>
    </row>
    <row r="28" spans="1:30" x14ac:dyDescent="0.3">
      <c r="A28" s="34"/>
      <c r="B28" s="25" t="s">
        <v>670</v>
      </c>
      <c r="C28" s="25" t="s">
        <v>652</v>
      </c>
      <c r="D28" s="25" t="s">
        <v>30</v>
      </c>
      <c r="E28" s="25" t="s">
        <v>638</v>
      </c>
      <c r="F28" s="25" t="s">
        <v>639</v>
      </c>
      <c r="G28" s="25" t="s">
        <v>650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6"/>
    </row>
    <row r="29" spans="1:30" ht="15" thickBot="1" x14ac:dyDescent="0.35">
      <c r="A29" s="38"/>
      <c r="B29" s="39" t="s">
        <v>671</v>
      </c>
      <c r="C29" s="39" t="s">
        <v>652</v>
      </c>
      <c r="D29" s="39" t="s">
        <v>488</v>
      </c>
      <c r="E29" s="39" t="s">
        <v>643</v>
      </c>
      <c r="F29" s="39" t="s">
        <v>663</v>
      </c>
      <c r="G29" s="39" t="s">
        <v>650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1"/>
    </row>
    <row r="30" spans="1:30" x14ac:dyDescent="0.3">
      <c r="A30" s="30" t="s">
        <v>452</v>
      </c>
      <c r="B30" s="31" t="s">
        <v>672</v>
      </c>
      <c r="C30" s="32" t="s">
        <v>620</v>
      </c>
      <c r="D30" s="32" t="s">
        <v>453</v>
      </c>
      <c r="E30" s="32" t="s">
        <v>621</v>
      </c>
      <c r="F30" s="32"/>
      <c r="G30" s="32" t="s">
        <v>622</v>
      </c>
      <c r="H30" s="31" t="s">
        <v>623</v>
      </c>
      <c r="I30" s="31">
        <v>73</v>
      </c>
      <c r="J30" s="31">
        <v>36</v>
      </c>
      <c r="K30" s="31" t="s">
        <v>105</v>
      </c>
      <c r="L30" s="31" t="s">
        <v>624</v>
      </c>
      <c r="M30" s="31" t="s">
        <v>624</v>
      </c>
      <c r="N30" s="31" t="s">
        <v>673</v>
      </c>
      <c r="O30" s="31" t="s">
        <v>673</v>
      </c>
      <c r="P30" s="31" t="s">
        <v>673</v>
      </c>
      <c r="Q30" s="31" t="s">
        <v>673</v>
      </c>
      <c r="R30" s="31" t="s">
        <v>625</v>
      </c>
      <c r="S30" s="31" t="s">
        <v>625</v>
      </c>
      <c r="T30" s="31" t="s">
        <v>625</v>
      </c>
      <c r="U30" s="31" t="s">
        <v>625</v>
      </c>
      <c r="V30" s="31" t="s">
        <v>626</v>
      </c>
      <c r="W30" s="31" t="s">
        <v>625</v>
      </c>
      <c r="X30" s="31" t="s">
        <v>625</v>
      </c>
      <c r="Y30" s="31" t="s">
        <v>626</v>
      </c>
      <c r="Z30" s="31" t="s">
        <v>626</v>
      </c>
      <c r="AA30" s="31" t="s">
        <v>625</v>
      </c>
      <c r="AB30" s="31" t="s">
        <v>627</v>
      </c>
      <c r="AC30" s="31" t="s">
        <v>628</v>
      </c>
      <c r="AD30" s="33" t="s">
        <v>629</v>
      </c>
    </row>
    <row r="31" spans="1:30" x14ac:dyDescent="0.3">
      <c r="A31" s="34"/>
      <c r="B31" s="35"/>
      <c r="C31" s="25" t="s">
        <v>652</v>
      </c>
      <c r="D31" s="25" t="s">
        <v>40</v>
      </c>
      <c r="E31" s="25" t="s">
        <v>674</v>
      </c>
      <c r="F31" s="25" t="s">
        <v>675</v>
      </c>
      <c r="G31" s="25" t="s">
        <v>633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6"/>
    </row>
    <row r="32" spans="1:30" x14ac:dyDescent="0.3">
      <c r="A32" s="34"/>
      <c r="B32" s="35"/>
      <c r="C32" s="25" t="s">
        <v>630</v>
      </c>
      <c r="D32" s="25" t="s">
        <v>454</v>
      </c>
      <c r="E32" s="25" t="s">
        <v>641</v>
      </c>
      <c r="F32" s="25" t="s">
        <v>632</v>
      </c>
      <c r="G32" s="25" t="s">
        <v>633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6"/>
    </row>
    <row r="33" spans="1:30" x14ac:dyDescent="0.3">
      <c r="A33" s="34"/>
      <c r="B33" s="35"/>
      <c r="C33" s="25" t="s">
        <v>640</v>
      </c>
      <c r="D33" s="25" t="s">
        <v>91</v>
      </c>
      <c r="E33" s="25" t="s">
        <v>638</v>
      </c>
      <c r="F33" s="25" t="s">
        <v>639</v>
      </c>
      <c r="G33" s="25" t="s">
        <v>633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6"/>
    </row>
    <row r="34" spans="1:30" x14ac:dyDescent="0.3">
      <c r="A34" s="34"/>
      <c r="B34" s="37"/>
      <c r="C34" s="25" t="s">
        <v>642</v>
      </c>
      <c r="D34" s="25" t="s">
        <v>419</v>
      </c>
      <c r="E34" s="25" t="s">
        <v>635</v>
      </c>
      <c r="F34" s="25" t="s">
        <v>636</v>
      </c>
      <c r="G34" s="25" t="s">
        <v>633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6"/>
    </row>
    <row r="35" spans="1:30" x14ac:dyDescent="0.3">
      <c r="A35" s="34"/>
      <c r="B35" s="25" t="s">
        <v>626</v>
      </c>
      <c r="C35" s="25" t="s">
        <v>626</v>
      </c>
      <c r="D35" s="25" t="s">
        <v>676</v>
      </c>
      <c r="E35" s="25" t="s">
        <v>677</v>
      </c>
      <c r="F35" s="25" t="s">
        <v>678</v>
      </c>
      <c r="G35" s="25" t="s">
        <v>650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6"/>
    </row>
    <row r="36" spans="1:30" x14ac:dyDescent="0.3">
      <c r="A36" s="34"/>
      <c r="B36" s="25" t="s">
        <v>626</v>
      </c>
      <c r="C36" s="25" t="s">
        <v>626</v>
      </c>
      <c r="D36" s="25" t="s">
        <v>679</v>
      </c>
      <c r="E36" s="25" t="s">
        <v>666</v>
      </c>
      <c r="F36" s="25" t="s">
        <v>667</v>
      </c>
      <c r="G36" s="25" t="s">
        <v>650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6"/>
    </row>
    <row r="37" spans="1:30" x14ac:dyDescent="0.3">
      <c r="A37" s="34"/>
      <c r="B37" s="25" t="s">
        <v>680</v>
      </c>
      <c r="C37" s="25" t="s">
        <v>652</v>
      </c>
      <c r="D37" s="25" t="s">
        <v>216</v>
      </c>
      <c r="E37" s="25" t="s">
        <v>621</v>
      </c>
      <c r="F37" s="25" t="s">
        <v>653</v>
      </c>
      <c r="G37" s="25" t="s">
        <v>650</v>
      </c>
      <c r="H37" s="42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6"/>
    </row>
    <row r="38" spans="1:30" x14ac:dyDescent="0.3">
      <c r="A38" s="34"/>
      <c r="B38" s="25" t="s">
        <v>681</v>
      </c>
      <c r="C38" s="25" t="s">
        <v>637</v>
      </c>
      <c r="D38" s="25" t="s">
        <v>454</v>
      </c>
      <c r="E38" s="25" t="s">
        <v>641</v>
      </c>
      <c r="F38" s="25" t="s">
        <v>632</v>
      </c>
      <c r="G38" s="25" t="s">
        <v>650</v>
      </c>
      <c r="H38" s="42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6"/>
    </row>
    <row r="39" spans="1:30" x14ac:dyDescent="0.3">
      <c r="A39" s="34"/>
      <c r="B39" s="25" t="s">
        <v>682</v>
      </c>
      <c r="C39" s="25" t="s">
        <v>652</v>
      </c>
      <c r="D39" s="25" t="s">
        <v>47</v>
      </c>
      <c r="E39" s="25" t="s">
        <v>674</v>
      </c>
      <c r="F39" s="25" t="s">
        <v>683</v>
      </c>
      <c r="G39" s="25" t="s">
        <v>650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6"/>
    </row>
    <row r="40" spans="1:30" x14ac:dyDescent="0.3">
      <c r="A40" s="34"/>
      <c r="B40" s="25" t="s">
        <v>684</v>
      </c>
      <c r="C40" s="25" t="s">
        <v>634</v>
      </c>
      <c r="D40" s="25" t="s">
        <v>91</v>
      </c>
      <c r="E40" s="25" t="s">
        <v>638</v>
      </c>
      <c r="F40" s="25" t="s">
        <v>639</v>
      </c>
      <c r="G40" s="25" t="s">
        <v>650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6"/>
    </row>
    <row r="41" spans="1:30" x14ac:dyDescent="0.3">
      <c r="A41" s="34"/>
      <c r="B41" s="25" t="s">
        <v>685</v>
      </c>
      <c r="C41" s="25" t="s">
        <v>652</v>
      </c>
      <c r="D41" s="25" t="s">
        <v>217</v>
      </c>
      <c r="E41" s="25" t="s">
        <v>659</v>
      </c>
      <c r="F41" s="25" t="s">
        <v>686</v>
      </c>
      <c r="G41" s="25" t="s">
        <v>650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6"/>
    </row>
    <row r="42" spans="1:30" ht="15" thickBot="1" x14ac:dyDescent="0.35">
      <c r="A42" s="38"/>
      <c r="B42" s="39" t="s">
        <v>687</v>
      </c>
      <c r="C42" s="39" t="s">
        <v>630</v>
      </c>
      <c r="D42" s="39" t="s">
        <v>408</v>
      </c>
      <c r="E42" s="39" t="s">
        <v>688</v>
      </c>
      <c r="F42" s="39" t="s">
        <v>689</v>
      </c>
      <c r="G42" s="39" t="s">
        <v>650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</row>
    <row r="43" spans="1:30" x14ac:dyDescent="0.3">
      <c r="A43" s="30" t="s">
        <v>446</v>
      </c>
      <c r="B43" s="31" t="s">
        <v>690</v>
      </c>
      <c r="C43" s="32" t="s">
        <v>620</v>
      </c>
      <c r="D43" s="32" t="s">
        <v>447</v>
      </c>
      <c r="E43" s="32" t="s">
        <v>621</v>
      </c>
      <c r="F43" s="32"/>
      <c r="G43" s="32" t="s">
        <v>622</v>
      </c>
      <c r="H43" s="31" t="s">
        <v>623</v>
      </c>
      <c r="I43" s="31">
        <v>72</v>
      </c>
      <c r="J43" s="31">
        <v>35</v>
      </c>
      <c r="K43" s="31" t="s">
        <v>105</v>
      </c>
      <c r="L43" s="31" t="s">
        <v>624</v>
      </c>
      <c r="M43" s="31" t="s">
        <v>624</v>
      </c>
      <c r="N43" s="31" t="s">
        <v>673</v>
      </c>
      <c r="O43" s="31" t="s">
        <v>673</v>
      </c>
      <c r="P43" s="31" t="s">
        <v>673</v>
      </c>
      <c r="Q43" s="31" t="s">
        <v>673</v>
      </c>
      <c r="R43" s="31" t="s">
        <v>625</v>
      </c>
      <c r="S43" s="31" t="s">
        <v>625</v>
      </c>
      <c r="T43" s="31" t="s">
        <v>625</v>
      </c>
      <c r="U43" s="31" t="s">
        <v>625</v>
      </c>
      <c r="V43" s="31" t="s">
        <v>626</v>
      </c>
      <c r="W43" s="31" t="s">
        <v>625</v>
      </c>
      <c r="X43" s="31" t="s">
        <v>625</v>
      </c>
      <c r="Y43" s="31" t="s">
        <v>626</v>
      </c>
      <c r="Z43" s="31" t="s">
        <v>626</v>
      </c>
      <c r="AA43" s="31" t="s">
        <v>625</v>
      </c>
      <c r="AB43" s="31" t="s">
        <v>627</v>
      </c>
      <c r="AC43" s="31" t="s">
        <v>628</v>
      </c>
      <c r="AD43" s="33" t="s">
        <v>629</v>
      </c>
    </row>
    <row r="44" spans="1:30" x14ac:dyDescent="0.3">
      <c r="A44" s="34"/>
      <c r="B44" s="35"/>
      <c r="C44" s="25" t="s">
        <v>652</v>
      </c>
      <c r="D44" s="25" t="s">
        <v>25</v>
      </c>
      <c r="E44" s="25" t="s">
        <v>674</v>
      </c>
      <c r="F44" s="25" t="s">
        <v>691</v>
      </c>
      <c r="G44" s="25" t="s">
        <v>633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6"/>
    </row>
    <row r="45" spans="1:30" x14ac:dyDescent="0.3">
      <c r="A45" s="34"/>
      <c r="B45" s="35"/>
      <c r="C45" s="25" t="s">
        <v>630</v>
      </c>
      <c r="D45" s="25" t="s">
        <v>448</v>
      </c>
      <c r="E45" s="25" t="s">
        <v>641</v>
      </c>
      <c r="F45" s="25" t="s">
        <v>632</v>
      </c>
      <c r="G45" s="25" t="s">
        <v>633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6"/>
    </row>
    <row r="46" spans="1:30" x14ac:dyDescent="0.3">
      <c r="A46" s="34"/>
      <c r="B46" s="35"/>
      <c r="C46" s="25" t="s">
        <v>634</v>
      </c>
      <c r="D46" s="25" t="s">
        <v>413</v>
      </c>
      <c r="E46" s="25" t="s">
        <v>688</v>
      </c>
      <c r="F46" s="25" t="s">
        <v>692</v>
      </c>
      <c r="G46" s="25" t="s">
        <v>633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6"/>
    </row>
    <row r="47" spans="1:30" x14ac:dyDescent="0.3">
      <c r="A47" s="34"/>
      <c r="B47" s="35"/>
      <c r="C47" s="25" t="s">
        <v>637</v>
      </c>
      <c r="D47" s="25" t="s">
        <v>424</v>
      </c>
      <c r="E47" s="25" t="s">
        <v>635</v>
      </c>
      <c r="F47" s="25" t="s">
        <v>636</v>
      </c>
      <c r="G47" s="25" t="s">
        <v>633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6"/>
    </row>
    <row r="48" spans="1:30" x14ac:dyDescent="0.3">
      <c r="A48" s="34"/>
      <c r="B48" s="35"/>
      <c r="C48" s="25" t="s">
        <v>640</v>
      </c>
      <c r="D48" s="25" t="s">
        <v>79</v>
      </c>
      <c r="E48" s="25" t="s">
        <v>638</v>
      </c>
      <c r="F48" s="25" t="s">
        <v>639</v>
      </c>
      <c r="G48" s="25" t="s">
        <v>633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6"/>
    </row>
    <row r="49" spans="1:30" x14ac:dyDescent="0.3">
      <c r="A49" s="34"/>
      <c r="B49" s="37"/>
      <c r="C49" s="25" t="s">
        <v>642</v>
      </c>
      <c r="D49" s="25" t="s">
        <v>205</v>
      </c>
      <c r="E49" s="25" t="s">
        <v>659</v>
      </c>
      <c r="F49" s="25" t="s">
        <v>693</v>
      </c>
      <c r="G49" s="25" t="s">
        <v>633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6"/>
    </row>
    <row r="50" spans="1:30" x14ac:dyDescent="0.3">
      <c r="A50" s="34"/>
      <c r="B50" s="25" t="s">
        <v>626</v>
      </c>
      <c r="C50" s="25" t="s">
        <v>626</v>
      </c>
      <c r="D50" s="25" t="s">
        <v>449</v>
      </c>
      <c r="E50" s="25" t="s">
        <v>677</v>
      </c>
      <c r="F50" s="25" t="s">
        <v>649</v>
      </c>
      <c r="G50" s="25" t="s">
        <v>650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6"/>
    </row>
    <row r="51" spans="1:30" x14ac:dyDescent="0.3">
      <c r="A51" s="34"/>
      <c r="B51" s="25" t="s">
        <v>694</v>
      </c>
      <c r="C51" s="25" t="s">
        <v>652</v>
      </c>
      <c r="D51" s="25" t="s">
        <v>121</v>
      </c>
      <c r="E51" s="25" t="s">
        <v>621</v>
      </c>
      <c r="F51" s="25" t="s">
        <v>653</v>
      </c>
      <c r="G51" s="25" t="s">
        <v>650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6"/>
    </row>
    <row r="52" spans="1:30" x14ac:dyDescent="0.3">
      <c r="A52" s="34"/>
      <c r="B52" s="25" t="s">
        <v>695</v>
      </c>
      <c r="C52" s="25" t="s">
        <v>637</v>
      </c>
      <c r="D52" s="25" t="s">
        <v>448</v>
      </c>
      <c r="E52" s="25" t="s">
        <v>641</v>
      </c>
      <c r="F52" s="25" t="s">
        <v>632</v>
      </c>
      <c r="G52" s="25" t="s">
        <v>650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6"/>
    </row>
    <row r="53" spans="1:30" x14ac:dyDescent="0.3">
      <c r="A53" s="34"/>
      <c r="B53" s="25" t="s">
        <v>696</v>
      </c>
      <c r="C53" s="25" t="s">
        <v>652</v>
      </c>
      <c r="D53" s="25" t="s">
        <v>34</v>
      </c>
      <c r="E53" s="25" t="s">
        <v>674</v>
      </c>
      <c r="F53" s="25" t="s">
        <v>697</v>
      </c>
      <c r="G53" s="25" t="s">
        <v>650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6"/>
    </row>
    <row r="54" spans="1:30" x14ac:dyDescent="0.3">
      <c r="A54" s="34"/>
      <c r="B54" s="25" t="s">
        <v>698</v>
      </c>
      <c r="C54" s="25" t="s">
        <v>634</v>
      </c>
      <c r="D54" s="25" t="s">
        <v>79</v>
      </c>
      <c r="E54" s="25" t="s">
        <v>638</v>
      </c>
      <c r="F54" s="25" t="s">
        <v>639</v>
      </c>
      <c r="G54" s="25" t="s">
        <v>650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6"/>
    </row>
    <row r="55" spans="1:30" x14ac:dyDescent="0.3">
      <c r="A55" s="34"/>
      <c r="B55" s="25" t="s">
        <v>699</v>
      </c>
      <c r="C55" s="25" t="s">
        <v>652</v>
      </c>
      <c r="D55" s="25" t="s">
        <v>413</v>
      </c>
      <c r="E55" s="25" t="s">
        <v>688</v>
      </c>
      <c r="F55" s="25" t="s">
        <v>692</v>
      </c>
      <c r="G55" s="25" t="s">
        <v>650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6"/>
    </row>
    <row r="56" spans="1:30" ht="15" thickBot="1" x14ac:dyDescent="0.35">
      <c r="A56" s="38"/>
      <c r="B56" s="39" t="s">
        <v>700</v>
      </c>
      <c r="C56" s="39" t="s">
        <v>652</v>
      </c>
      <c r="D56" s="39" t="s">
        <v>205</v>
      </c>
      <c r="E56" s="39" t="s">
        <v>659</v>
      </c>
      <c r="F56" s="39" t="s">
        <v>693</v>
      </c>
      <c r="G56" s="39" t="s">
        <v>650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1"/>
    </row>
    <row r="57" spans="1:30" x14ac:dyDescent="0.3">
      <c r="A57" s="30" t="s">
        <v>576</v>
      </c>
      <c r="B57" s="31" t="s">
        <v>701</v>
      </c>
      <c r="C57" s="32" t="s">
        <v>620</v>
      </c>
      <c r="D57" s="32" t="s">
        <v>578</v>
      </c>
      <c r="E57" s="32" t="s">
        <v>621</v>
      </c>
      <c r="F57" s="32"/>
      <c r="G57" s="32" t="s">
        <v>622</v>
      </c>
      <c r="H57" s="31" t="s">
        <v>702</v>
      </c>
      <c r="I57" s="31">
        <v>98</v>
      </c>
      <c r="J57" s="31">
        <v>48</v>
      </c>
      <c r="K57" s="31" t="s">
        <v>105</v>
      </c>
      <c r="L57" s="125" t="s">
        <v>1291</v>
      </c>
      <c r="M57" s="31" t="s">
        <v>624</v>
      </c>
      <c r="N57" s="31" t="s">
        <v>577</v>
      </c>
      <c r="O57" s="31" t="s">
        <v>577</v>
      </c>
      <c r="P57" s="31" t="s">
        <v>577</v>
      </c>
      <c r="Q57" s="31" t="s">
        <v>577</v>
      </c>
      <c r="R57" s="31" t="s">
        <v>625</v>
      </c>
      <c r="S57" s="31" t="s">
        <v>703</v>
      </c>
      <c r="T57" s="31" t="s">
        <v>625</v>
      </c>
      <c r="U57" s="31" t="s">
        <v>625</v>
      </c>
      <c r="V57" s="31" t="s">
        <v>626</v>
      </c>
      <c r="W57" s="31" t="s">
        <v>703</v>
      </c>
      <c r="X57" s="31" t="s">
        <v>703</v>
      </c>
      <c r="Y57" s="31" t="s">
        <v>625</v>
      </c>
      <c r="Z57" s="31" t="s">
        <v>626</v>
      </c>
      <c r="AA57" s="31" t="s">
        <v>703</v>
      </c>
      <c r="AB57" s="31" t="s">
        <v>704</v>
      </c>
      <c r="AC57" s="31" t="s">
        <v>705</v>
      </c>
      <c r="AD57" s="33" t="s">
        <v>706</v>
      </c>
    </row>
    <row r="58" spans="1:30" x14ac:dyDescent="0.3">
      <c r="A58" s="34"/>
      <c r="B58" s="35"/>
      <c r="C58" s="25" t="s">
        <v>634</v>
      </c>
      <c r="D58" s="25" t="s">
        <v>118</v>
      </c>
      <c r="E58" s="25" t="s">
        <v>638</v>
      </c>
      <c r="F58" s="25" t="s">
        <v>639</v>
      </c>
      <c r="G58" s="25" t="s">
        <v>633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6"/>
    </row>
    <row r="59" spans="1:30" x14ac:dyDescent="0.3">
      <c r="A59" s="34"/>
      <c r="B59" s="35"/>
      <c r="C59" s="25" t="s">
        <v>637</v>
      </c>
      <c r="D59" s="25" t="s">
        <v>120</v>
      </c>
      <c r="E59" s="25" t="s">
        <v>707</v>
      </c>
      <c r="F59" s="25" t="s">
        <v>708</v>
      </c>
      <c r="G59" s="25" t="s">
        <v>633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6"/>
    </row>
    <row r="60" spans="1:30" x14ac:dyDescent="0.3">
      <c r="A60" s="34"/>
      <c r="B60" s="35"/>
      <c r="C60" s="25" t="s">
        <v>645</v>
      </c>
      <c r="D60" s="25" t="s">
        <v>577</v>
      </c>
      <c r="E60" s="25" t="s">
        <v>709</v>
      </c>
      <c r="F60" s="25" t="s">
        <v>710</v>
      </c>
      <c r="G60" s="25" t="s">
        <v>633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6"/>
    </row>
    <row r="61" spans="1:30" x14ac:dyDescent="0.3">
      <c r="A61" s="34"/>
      <c r="B61" s="37"/>
      <c r="C61" s="25" t="s">
        <v>711</v>
      </c>
      <c r="D61" s="25" t="s">
        <v>266</v>
      </c>
      <c r="E61" s="25" t="s">
        <v>712</v>
      </c>
      <c r="F61" s="25" t="s">
        <v>713</v>
      </c>
      <c r="G61" s="25" t="s">
        <v>633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6"/>
    </row>
    <row r="62" spans="1:30" x14ac:dyDescent="0.3">
      <c r="A62" s="34"/>
      <c r="B62" s="25" t="s">
        <v>626</v>
      </c>
      <c r="C62" s="25" t="s">
        <v>626</v>
      </c>
      <c r="D62" s="25" t="s">
        <v>579</v>
      </c>
      <c r="E62" s="25" t="s">
        <v>677</v>
      </c>
      <c r="F62" s="25" t="s">
        <v>649</v>
      </c>
      <c r="G62" s="25" t="s">
        <v>650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6"/>
    </row>
    <row r="63" spans="1:30" x14ac:dyDescent="0.3">
      <c r="A63" s="34"/>
      <c r="B63" s="25" t="s">
        <v>714</v>
      </c>
      <c r="C63" s="25" t="s">
        <v>652</v>
      </c>
      <c r="D63" s="25" t="s">
        <v>513</v>
      </c>
      <c r="E63" s="25" t="s">
        <v>621</v>
      </c>
      <c r="F63" s="25" t="s">
        <v>653</v>
      </c>
      <c r="G63" s="25" t="s">
        <v>650</v>
      </c>
      <c r="H63" s="42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6"/>
    </row>
    <row r="64" spans="1:30" x14ac:dyDescent="0.3">
      <c r="A64" s="34"/>
      <c r="B64" s="25" t="s">
        <v>715</v>
      </c>
      <c r="C64" s="25" t="s">
        <v>711</v>
      </c>
      <c r="D64" s="25" t="s">
        <v>118</v>
      </c>
      <c r="E64" s="25" t="s">
        <v>638</v>
      </c>
      <c r="F64" s="25" t="s">
        <v>639</v>
      </c>
      <c r="G64" s="25" t="s">
        <v>650</v>
      </c>
      <c r="H64" s="42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6"/>
    </row>
    <row r="65" spans="1:30" x14ac:dyDescent="0.3">
      <c r="A65" s="34"/>
      <c r="B65" s="25" t="s">
        <v>716</v>
      </c>
      <c r="C65" s="25" t="s">
        <v>620</v>
      </c>
      <c r="D65" s="25" t="s">
        <v>577</v>
      </c>
      <c r="E65" s="25" t="s">
        <v>709</v>
      </c>
      <c r="F65" s="25" t="s">
        <v>710</v>
      </c>
      <c r="G65" s="25" t="s">
        <v>650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6"/>
    </row>
    <row r="66" spans="1:30" ht="15" thickBot="1" x14ac:dyDescent="0.35">
      <c r="A66" s="38"/>
      <c r="B66" s="39" t="s">
        <v>717</v>
      </c>
      <c r="C66" s="39" t="s">
        <v>642</v>
      </c>
      <c r="D66" s="39" t="s">
        <v>266</v>
      </c>
      <c r="E66" s="39" t="s">
        <v>712</v>
      </c>
      <c r="F66" s="39" t="s">
        <v>713</v>
      </c>
      <c r="G66" s="39" t="s">
        <v>650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1"/>
    </row>
    <row r="67" spans="1:30" x14ac:dyDescent="0.3">
      <c r="A67" s="30" t="s">
        <v>571</v>
      </c>
      <c r="B67" s="31" t="s">
        <v>718</v>
      </c>
      <c r="C67" s="32" t="s">
        <v>620</v>
      </c>
      <c r="D67" s="32" t="s">
        <v>572</v>
      </c>
      <c r="E67" s="32" t="s">
        <v>621</v>
      </c>
      <c r="F67" s="32"/>
      <c r="G67" s="32" t="s">
        <v>622</v>
      </c>
      <c r="H67" s="31" t="s">
        <v>702</v>
      </c>
      <c r="I67" s="31">
        <v>97</v>
      </c>
      <c r="J67" s="31">
        <v>47</v>
      </c>
      <c r="K67" s="31" t="s">
        <v>105</v>
      </c>
      <c r="L67" s="31" t="s">
        <v>673</v>
      </c>
      <c r="M67" s="31" t="s">
        <v>673</v>
      </c>
      <c r="N67" s="31" t="s">
        <v>673</v>
      </c>
      <c r="O67" s="31" t="s">
        <v>673</v>
      </c>
      <c r="P67" s="31" t="s">
        <v>673</v>
      </c>
      <c r="Q67" s="31" t="s">
        <v>673</v>
      </c>
      <c r="R67" s="31" t="s">
        <v>625</v>
      </c>
      <c r="S67" s="31" t="s">
        <v>625</v>
      </c>
      <c r="T67" s="31" t="s">
        <v>625</v>
      </c>
      <c r="U67" s="31" t="s">
        <v>625</v>
      </c>
      <c r="V67" s="31" t="s">
        <v>626</v>
      </c>
      <c r="W67" s="31" t="s">
        <v>625</v>
      </c>
      <c r="X67" s="31" t="s">
        <v>625</v>
      </c>
      <c r="Y67" s="31" t="s">
        <v>625</v>
      </c>
      <c r="Z67" s="31" t="s">
        <v>625</v>
      </c>
      <c r="AA67" s="31" t="s">
        <v>625</v>
      </c>
      <c r="AB67" s="31" t="s">
        <v>627</v>
      </c>
      <c r="AC67" s="31" t="s">
        <v>628</v>
      </c>
      <c r="AD67" s="33" t="s">
        <v>719</v>
      </c>
    </row>
    <row r="68" spans="1:30" x14ac:dyDescent="0.3">
      <c r="A68" s="34"/>
      <c r="B68" s="37"/>
      <c r="C68" s="25" t="s">
        <v>645</v>
      </c>
      <c r="D68" s="25" t="s">
        <v>573</v>
      </c>
      <c r="E68" s="25" t="s">
        <v>720</v>
      </c>
      <c r="F68" s="25" t="s">
        <v>721</v>
      </c>
      <c r="G68" s="25" t="s">
        <v>622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6"/>
    </row>
    <row r="69" spans="1:30" ht="15" thickBot="1" x14ac:dyDescent="0.35">
      <c r="A69" s="38"/>
      <c r="B69" s="39" t="s">
        <v>722</v>
      </c>
      <c r="C69" s="39" t="s">
        <v>652</v>
      </c>
      <c r="D69" s="39" t="s">
        <v>564</v>
      </c>
      <c r="E69" s="39" t="s">
        <v>621</v>
      </c>
      <c r="F69" s="39" t="s">
        <v>653</v>
      </c>
      <c r="G69" s="39" t="s">
        <v>650</v>
      </c>
      <c r="H69" s="39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1"/>
    </row>
    <row r="70" spans="1:30" x14ac:dyDescent="0.3">
      <c r="A70" s="30" t="s">
        <v>385</v>
      </c>
      <c r="B70" s="31" t="s">
        <v>723</v>
      </c>
      <c r="C70" s="32" t="s">
        <v>620</v>
      </c>
      <c r="D70" s="32" t="s">
        <v>386</v>
      </c>
      <c r="E70" s="32" t="s">
        <v>621</v>
      </c>
      <c r="F70" s="32"/>
      <c r="G70" s="32" t="s">
        <v>622</v>
      </c>
      <c r="H70" s="31" t="s">
        <v>623</v>
      </c>
      <c r="I70" s="31">
        <v>58</v>
      </c>
      <c r="J70" s="31" t="s">
        <v>626</v>
      </c>
      <c r="K70" s="31" t="s">
        <v>105</v>
      </c>
      <c r="L70" s="31" t="s">
        <v>624</v>
      </c>
      <c r="M70" s="31" t="s">
        <v>624</v>
      </c>
      <c r="N70" s="31" t="s">
        <v>624</v>
      </c>
      <c r="O70" s="31" t="s">
        <v>624</v>
      </c>
      <c r="P70" s="31" t="s">
        <v>624</v>
      </c>
      <c r="Q70" s="31" t="s">
        <v>624</v>
      </c>
      <c r="R70" s="31" t="s">
        <v>625</v>
      </c>
      <c r="S70" s="31" t="s">
        <v>625</v>
      </c>
      <c r="T70" s="31" t="s">
        <v>625</v>
      </c>
      <c r="U70" s="31" t="s">
        <v>625</v>
      </c>
      <c r="V70" s="31" t="s">
        <v>626</v>
      </c>
      <c r="W70" s="31" t="s">
        <v>625</v>
      </c>
      <c r="X70" s="31" t="s">
        <v>625</v>
      </c>
      <c r="Y70" s="31" t="s">
        <v>626</v>
      </c>
      <c r="Z70" s="31" t="s">
        <v>626</v>
      </c>
      <c r="AA70" s="31" t="s">
        <v>625</v>
      </c>
      <c r="AB70" s="31" t="s">
        <v>627</v>
      </c>
      <c r="AC70" s="31" t="s">
        <v>628</v>
      </c>
      <c r="AD70" s="33" t="s">
        <v>629</v>
      </c>
    </row>
    <row r="71" spans="1:30" x14ac:dyDescent="0.3">
      <c r="A71" s="34"/>
      <c r="B71" s="35"/>
      <c r="C71" s="25" t="s">
        <v>634</v>
      </c>
      <c r="D71" s="25" t="s">
        <v>387</v>
      </c>
      <c r="E71" s="25" t="s">
        <v>688</v>
      </c>
      <c r="F71" s="25" t="s">
        <v>724</v>
      </c>
      <c r="G71" s="25" t="s">
        <v>633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6"/>
    </row>
    <row r="72" spans="1:30" x14ac:dyDescent="0.3">
      <c r="A72" s="34"/>
      <c r="B72" s="35"/>
      <c r="C72" s="25" t="s">
        <v>637</v>
      </c>
      <c r="D72" s="25" t="s">
        <v>159</v>
      </c>
      <c r="E72" s="25" t="s">
        <v>641</v>
      </c>
      <c r="F72" s="25" t="s">
        <v>632</v>
      </c>
      <c r="G72" s="25" t="s">
        <v>633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6"/>
    </row>
    <row r="73" spans="1:30" x14ac:dyDescent="0.3">
      <c r="A73" s="34"/>
      <c r="B73" s="37"/>
      <c r="C73" s="25" t="s">
        <v>642</v>
      </c>
      <c r="D73" s="25" t="s">
        <v>180</v>
      </c>
      <c r="E73" s="25" t="s">
        <v>725</v>
      </c>
      <c r="F73" s="25" t="s">
        <v>724</v>
      </c>
      <c r="G73" s="25" t="s">
        <v>633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6"/>
    </row>
    <row r="74" spans="1:30" x14ac:dyDescent="0.3">
      <c r="A74" s="34"/>
      <c r="B74" s="25" t="s">
        <v>626</v>
      </c>
      <c r="C74" s="25" t="s">
        <v>626</v>
      </c>
      <c r="D74" s="25" t="s">
        <v>726</v>
      </c>
      <c r="E74" s="25" t="s">
        <v>666</v>
      </c>
      <c r="F74" s="25" t="s">
        <v>667</v>
      </c>
      <c r="G74" s="25" t="s">
        <v>650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6"/>
    </row>
    <row r="75" spans="1:30" x14ac:dyDescent="0.3">
      <c r="A75" s="34"/>
      <c r="B75" s="25" t="s">
        <v>626</v>
      </c>
      <c r="C75" s="25" t="s">
        <v>626</v>
      </c>
      <c r="D75" s="25" t="s">
        <v>727</v>
      </c>
      <c r="E75" s="25" t="s">
        <v>648</v>
      </c>
      <c r="F75" s="25" t="s">
        <v>649</v>
      </c>
      <c r="G75" s="25" t="s">
        <v>650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6"/>
    </row>
    <row r="76" spans="1:30" x14ac:dyDescent="0.3">
      <c r="A76" s="34"/>
      <c r="B76" s="25" t="s">
        <v>626</v>
      </c>
      <c r="C76" s="25" t="s">
        <v>626</v>
      </c>
      <c r="D76" s="25" t="s">
        <v>728</v>
      </c>
      <c r="E76" s="25" t="s">
        <v>677</v>
      </c>
      <c r="F76" s="25" t="s">
        <v>649</v>
      </c>
      <c r="G76" s="25" t="s">
        <v>650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6"/>
    </row>
    <row r="77" spans="1:30" x14ac:dyDescent="0.3">
      <c r="A77" s="34"/>
      <c r="B77" s="25" t="s">
        <v>729</v>
      </c>
      <c r="C77" s="25" t="s">
        <v>630</v>
      </c>
      <c r="D77" s="25" t="s">
        <v>214</v>
      </c>
      <c r="E77" s="25" t="s">
        <v>730</v>
      </c>
      <c r="F77" s="25" t="s">
        <v>731</v>
      </c>
      <c r="G77" s="25" t="s">
        <v>650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6"/>
    </row>
    <row r="78" spans="1:30" x14ac:dyDescent="0.3">
      <c r="A78" s="34"/>
      <c r="B78" s="25" t="s">
        <v>732</v>
      </c>
      <c r="C78" s="25" t="s">
        <v>652</v>
      </c>
      <c r="D78" s="25" t="s">
        <v>389</v>
      </c>
      <c r="E78" s="25" t="s">
        <v>621</v>
      </c>
      <c r="F78" s="25" t="s">
        <v>653</v>
      </c>
      <c r="G78" s="25" t="s">
        <v>650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6"/>
    </row>
    <row r="79" spans="1:30" x14ac:dyDescent="0.3">
      <c r="A79" s="34"/>
      <c r="B79" s="25" t="s">
        <v>733</v>
      </c>
      <c r="C79" s="25" t="s">
        <v>652</v>
      </c>
      <c r="D79" s="25" t="s">
        <v>159</v>
      </c>
      <c r="E79" s="25" t="s">
        <v>641</v>
      </c>
      <c r="F79" s="25" t="s">
        <v>632</v>
      </c>
      <c r="G79" s="25" t="s">
        <v>650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6"/>
    </row>
    <row r="80" spans="1:30" x14ac:dyDescent="0.3">
      <c r="A80" s="34"/>
      <c r="B80" s="25" t="s">
        <v>734</v>
      </c>
      <c r="C80" s="25" t="s">
        <v>630</v>
      </c>
      <c r="D80" s="25" t="s">
        <v>49</v>
      </c>
      <c r="E80" s="25" t="s">
        <v>735</v>
      </c>
      <c r="F80" s="25" t="s">
        <v>686</v>
      </c>
      <c r="G80" s="25" t="s">
        <v>650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6"/>
    </row>
    <row r="81" spans="1:30" x14ac:dyDescent="0.3">
      <c r="A81" s="34"/>
      <c r="B81" s="25" t="s">
        <v>736</v>
      </c>
      <c r="C81" s="25" t="s">
        <v>652</v>
      </c>
      <c r="D81" s="25" t="s">
        <v>387</v>
      </c>
      <c r="E81" s="25" t="s">
        <v>688</v>
      </c>
      <c r="F81" s="25" t="s">
        <v>724</v>
      </c>
      <c r="G81" s="25" t="s">
        <v>650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6"/>
    </row>
    <row r="82" spans="1:30" x14ac:dyDescent="0.3">
      <c r="A82" s="34"/>
      <c r="B82" s="25" t="s">
        <v>737</v>
      </c>
      <c r="C82" s="25" t="s">
        <v>640</v>
      </c>
      <c r="D82" s="25" t="s">
        <v>180</v>
      </c>
      <c r="E82" s="25" t="s">
        <v>725</v>
      </c>
      <c r="F82" s="25" t="s">
        <v>724</v>
      </c>
      <c r="G82" s="25" t="s">
        <v>650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6"/>
    </row>
    <row r="83" spans="1:30" x14ac:dyDescent="0.3">
      <c r="A83" s="34"/>
      <c r="B83" s="25" t="s">
        <v>738</v>
      </c>
      <c r="C83" s="25" t="s">
        <v>630</v>
      </c>
      <c r="D83" s="25" t="s">
        <v>48</v>
      </c>
      <c r="E83" s="25" t="s">
        <v>739</v>
      </c>
      <c r="F83" s="25" t="s">
        <v>660</v>
      </c>
      <c r="G83" s="25" t="s">
        <v>650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6"/>
    </row>
    <row r="84" spans="1:30" ht="15" thickBot="1" x14ac:dyDescent="0.35">
      <c r="A84" s="38"/>
      <c r="B84" s="39" t="s">
        <v>740</v>
      </c>
      <c r="C84" s="39" t="s">
        <v>652</v>
      </c>
      <c r="D84" s="39" t="s">
        <v>390</v>
      </c>
      <c r="E84" s="39" t="s">
        <v>659</v>
      </c>
      <c r="F84" s="39" t="s">
        <v>741</v>
      </c>
      <c r="G84" s="39" t="s">
        <v>650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1"/>
    </row>
    <row r="85" spans="1:30" x14ac:dyDescent="0.3">
      <c r="A85" s="30" t="s">
        <v>380</v>
      </c>
      <c r="B85" s="31" t="s">
        <v>742</v>
      </c>
      <c r="C85" s="32" t="s">
        <v>620</v>
      </c>
      <c r="D85" s="32" t="s">
        <v>381</v>
      </c>
      <c r="E85" s="32" t="s">
        <v>621</v>
      </c>
      <c r="F85" s="32"/>
      <c r="G85" s="32" t="s">
        <v>622</v>
      </c>
      <c r="H85" s="31" t="s">
        <v>702</v>
      </c>
      <c r="I85" s="31">
        <v>57</v>
      </c>
      <c r="J85" s="31">
        <v>29</v>
      </c>
      <c r="K85" s="31" t="s">
        <v>105</v>
      </c>
      <c r="L85" s="31" t="s">
        <v>624</v>
      </c>
      <c r="M85" s="31" t="s">
        <v>624</v>
      </c>
      <c r="N85" s="31" t="s">
        <v>624</v>
      </c>
      <c r="O85" s="31" t="s">
        <v>624</v>
      </c>
      <c r="P85" s="31" t="s">
        <v>624</v>
      </c>
      <c r="Q85" s="31" t="s">
        <v>624</v>
      </c>
      <c r="R85" s="31" t="s">
        <v>625</v>
      </c>
      <c r="S85" s="31" t="s">
        <v>625</v>
      </c>
      <c r="T85" s="31" t="s">
        <v>625</v>
      </c>
      <c r="U85" s="31" t="s">
        <v>625</v>
      </c>
      <c r="V85" s="31" t="s">
        <v>626</v>
      </c>
      <c r="W85" s="31" t="s">
        <v>625</v>
      </c>
      <c r="X85" s="31" t="s">
        <v>625</v>
      </c>
      <c r="Y85" s="31" t="s">
        <v>625</v>
      </c>
      <c r="Z85" s="31" t="s">
        <v>626</v>
      </c>
      <c r="AA85" s="31" t="s">
        <v>625</v>
      </c>
      <c r="AB85" s="31" t="s">
        <v>627</v>
      </c>
      <c r="AC85" s="31" t="s">
        <v>628</v>
      </c>
      <c r="AD85" s="33" t="s">
        <v>706</v>
      </c>
    </row>
    <row r="86" spans="1:30" x14ac:dyDescent="0.3">
      <c r="A86" s="34"/>
      <c r="B86" s="35"/>
      <c r="C86" s="25" t="s">
        <v>652</v>
      </c>
      <c r="D86" s="25" t="s">
        <v>26</v>
      </c>
      <c r="E86" s="25" t="s">
        <v>735</v>
      </c>
      <c r="F86" s="25" t="s">
        <v>693</v>
      </c>
      <c r="G86" s="25" t="s">
        <v>633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6"/>
    </row>
    <row r="87" spans="1:30" x14ac:dyDescent="0.3">
      <c r="A87" s="34"/>
      <c r="B87" s="35"/>
      <c r="C87" s="25" t="s">
        <v>630</v>
      </c>
      <c r="D87" s="25" t="s">
        <v>189</v>
      </c>
      <c r="E87" s="25" t="s">
        <v>643</v>
      </c>
      <c r="F87" s="25" t="s">
        <v>724</v>
      </c>
      <c r="G87" s="25" t="s">
        <v>633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6"/>
    </row>
    <row r="88" spans="1:30" x14ac:dyDescent="0.3">
      <c r="A88" s="34"/>
      <c r="B88" s="35"/>
      <c r="C88" s="25" t="s">
        <v>634</v>
      </c>
      <c r="D88" s="25" t="s">
        <v>191</v>
      </c>
      <c r="E88" s="25" t="s">
        <v>641</v>
      </c>
      <c r="F88" s="25" t="s">
        <v>632</v>
      </c>
      <c r="G88" s="25" t="s">
        <v>633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6"/>
    </row>
    <row r="89" spans="1:30" x14ac:dyDescent="0.3">
      <c r="A89" s="34"/>
      <c r="B89" s="35"/>
      <c r="C89" s="25" t="s">
        <v>637</v>
      </c>
      <c r="D89" s="25" t="s">
        <v>204</v>
      </c>
      <c r="E89" s="25" t="s">
        <v>730</v>
      </c>
      <c r="F89" s="25" t="s">
        <v>743</v>
      </c>
      <c r="G89" s="25" t="s">
        <v>633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6"/>
    </row>
    <row r="90" spans="1:30" x14ac:dyDescent="0.3">
      <c r="A90" s="34"/>
      <c r="B90" s="35"/>
      <c r="C90" s="25" t="s">
        <v>640</v>
      </c>
      <c r="D90" s="25" t="s">
        <v>29</v>
      </c>
      <c r="E90" s="25" t="s">
        <v>739</v>
      </c>
      <c r="F90" s="25" t="s">
        <v>662</v>
      </c>
      <c r="G90" s="25" t="s">
        <v>633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6"/>
    </row>
    <row r="91" spans="1:30" x14ac:dyDescent="0.3">
      <c r="A91" s="34"/>
      <c r="B91" s="37"/>
      <c r="C91" s="25" t="s">
        <v>642</v>
      </c>
      <c r="D91" s="25" t="s">
        <v>135</v>
      </c>
      <c r="E91" s="25" t="s">
        <v>638</v>
      </c>
      <c r="F91" s="25" t="s">
        <v>639</v>
      </c>
      <c r="G91" s="25" t="s">
        <v>633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6"/>
    </row>
    <row r="92" spans="1:30" x14ac:dyDescent="0.3">
      <c r="A92" s="34"/>
      <c r="B92" s="25" t="s">
        <v>626</v>
      </c>
      <c r="C92" s="25" t="s">
        <v>626</v>
      </c>
      <c r="D92" s="25" t="s">
        <v>382</v>
      </c>
      <c r="E92" s="25" t="s">
        <v>648</v>
      </c>
      <c r="F92" s="25" t="s">
        <v>649</v>
      </c>
      <c r="G92" s="25" t="s">
        <v>650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6"/>
    </row>
    <row r="93" spans="1:30" x14ac:dyDescent="0.3">
      <c r="A93" s="34"/>
      <c r="B93" s="25" t="s">
        <v>744</v>
      </c>
      <c r="C93" s="25" t="s">
        <v>652</v>
      </c>
      <c r="D93" s="25" t="s">
        <v>184</v>
      </c>
      <c r="E93" s="25" t="s">
        <v>621</v>
      </c>
      <c r="F93" s="25" t="s">
        <v>653</v>
      </c>
      <c r="G93" s="25" t="s">
        <v>650</v>
      </c>
      <c r="H93" s="42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6"/>
    </row>
    <row r="94" spans="1:30" x14ac:dyDescent="0.3">
      <c r="A94" s="34"/>
      <c r="B94" s="25" t="s">
        <v>745</v>
      </c>
      <c r="C94" s="25" t="s">
        <v>652</v>
      </c>
      <c r="D94" s="25" t="s">
        <v>191</v>
      </c>
      <c r="E94" s="25" t="s">
        <v>641</v>
      </c>
      <c r="F94" s="25" t="s">
        <v>632</v>
      </c>
      <c r="G94" s="25" t="s">
        <v>650</v>
      </c>
      <c r="H94" s="42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6"/>
    </row>
    <row r="95" spans="1:30" x14ac:dyDescent="0.3">
      <c r="A95" s="34"/>
      <c r="B95" s="25" t="s">
        <v>746</v>
      </c>
      <c r="C95" s="25" t="s">
        <v>634</v>
      </c>
      <c r="D95" s="25" t="s">
        <v>135</v>
      </c>
      <c r="E95" s="25" t="s">
        <v>638</v>
      </c>
      <c r="F95" s="25" t="s">
        <v>639</v>
      </c>
      <c r="G95" s="25" t="s">
        <v>650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6"/>
    </row>
    <row r="96" spans="1:30" x14ac:dyDescent="0.3">
      <c r="A96" s="34"/>
      <c r="B96" s="25" t="s">
        <v>747</v>
      </c>
      <c r="C96" s="25" t="s">
        <v>634</v>
      </c>
      <c r="D96" s="25" t="s">
        <v>189</v>
      </c>
      <c r="E96" s="25" t="s">
        <v>643</v>
      </c>
      <c r="F96" s="25" t="s">
        <v>724</v>
      </c>
      <c r="G96" s="25" t="s">
        <v>650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6"/>
    </row>
    <row r="97" spans="1:30" x14ac:dyDescent="0.3">
      <c r="A97" s="34"/>
      <c r="B97" s="25" t="s">
        <v>748</v>
      </c>
      <c r="C97" s="25" t="s">
        <v>652</v>
      </c>
      <c r="D97" s="25" t="s">
        <v>26</v>
      </c>
      <c r="E97" s="25" t="s">
        <v>735</v>
      </c>
      <c r="F97" s="25" t="s">
        <v>693</v>
      </c>
      <c r="G97" s="25" t="s">
        <v>650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6"/>
    </row>
    <row r="98" spans="1:30" ht="15" thickBot="1" x14ac:dyDescent="0.35">
      <c r="A98" s="38"/>
      <c r="B98" s="39" t="s">
        <v>749</v>
      </c>
      <c r="C98" s="39" t="s">
        <v>652</v>
      </c>
      <c r="D98" s="39" t="s">
        <v>383</v>
      </c>
      <c r="E98" s="39" t="s">
        <v>659</v>
      </c>
      <c r="F98" s="39" t="s">
        <v>750</v>
      </c>
      <c r="G98" s="39" t="s">
        <v>650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1"/>
    </row>
    <row r="99" spans="1:30" x14ac:dyDescent="0.3">
      <c r="A99" s="30" t="s">
        <v>585</v>
      </c>
      <c r="B99" s="31" t="s">
        <v>751</v>
      </c>
      <c r="C99" s="32" t="s">
        <v>620</v>
      </c>
      <c r="D99" s="32" t="s">
        <v>586</v>
      </c>
      <c r="E99" s="32" t="s">
        <v>621</v>
      </c>
      <c r="F99" s="32"/>
      <c r="G99" s="32" t="s">
        <v>622</v>
      </c>
      <c r="H99" s="31" t="s">
        <v>623</v>
      </c>
      <c r="I99" s="31">
        <v>100</v>
      </c>
      <c r="J99" s="31" t="s">
        <v>626</v>
      </c>
      <c r="K99" s="31" t="s">
        <v>105</v>
      </c>
      <c r="L99" s="31" t="s">
        <v>624</v>
      </c>
      <c r="M99" s="31" t="s">
        <v>624</v>
      </c>
      <c r="N99" s="31" t="s">
        <v>624</v>
      </c>
      <c r="O99" s="31" t="s">
        <v>624</v>
      </c>
      <c r="P99" s="31" t="s">
        <v>624</v>
      </c>
      <c r="Q99" s="31" t="s">
        <v>624</v>
      </c>
      <c r="R99" s="31" t="s">
        <v>625</v>
      </c>
      <c r="S99" s="31" t="s">
        <v>625</v>
      </c>
      <c r="T99" s="31" t="s">
        <v>625</v>
      </c>
      <c r="U99" s="31" t="s">
        <v>625</v>
      </c>
      <c r="V99" s="31" t="s">
        <v>626</v>
      </c>
      <c r="W99" s="31" t="s">
        <v>625</v>
      </c>
      <c r="X99" s="31" t="s">
        <v>625</v>
      </c>
      <c r="Y99" s="31" t="s">
        <v>626</v>
      </c>
      <c r="Z99" s="31" t="s">
        <v>626</v>
      </c>
      <c r="AA99" s="31" t="s">
        <v>625</v>
      </c>
      <c r="AB99" s="31" t="s">
        <v>627</v>
      </c>
      <c r="AC99" s="31" t="s">
        <v>628</v>
      </c>
      <c r="AD99" s="33" t="s">
        <v>629</v>
      </c>
    </row>
    <row r="100" spans="1:30" x14ac:dyDescent="0.3">
      <c r="A100" s="34"/>
      <c r="B100" s="35"/>
      <c r="C100" s="25" t="s">
        <v>630</v>
      </c>
      <c r="D100" s="25" t="s">
        <v>227</v>
      </c>
      <c r="E100" s="25" t="s">
        <v>641</v>
      </c>
      <c r="F100" s="25" t="s">
        <v>632</v>
      </c>
      <c r="G100" s="25" t="s">
        <v>633</v>
      </c>
      <c r="H100" s="42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6"/>
    </row>
    <row r="101" spans="1:30" x14ac:dyDescent="0.3">
      <c r="A101" s="34"/>
      <c r="B101" s="35"/>
      <c r="C101" s="25" t="s">
        <v>634</v>
      </c>
      <c r="D101" s="25" t="s">
        <v>303</v>
      </c>
      <c r="E101" s="25" t="s">
        <v>752</v>
      </c>
      <c r="F101" s="25" t="s">
        <v>753</v>
      </c>
      <c r="G101" s="25" t="s">
        <v>633</v>
      </c>
      <c r="H101" s="42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6"/>
    </row>
    <row r="102" spans="1:30" x14ac:dyDescent="0.3">
      <c r="A102" s="34"/>
      <c r="B102" s="37"/>
      <c r="C102" s="25" t="s">
        <v>637</v>
      </c>
      <c r="D102" s="25" t="s">
        <v>118</v>
      </c>
      <c r="E102" s="25" t="s">
        <v>638</v>
      </c>
      <c r="F102" s="25" t="s">
        <v>639</v>
      </c>
      <c r="G102" s="25" t="s">
        <v>633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6"/>
    </row>
    <row r="103" spans="1:30" x14ac:dyDescent="0.3">
      <c r="A103" s="34"/>
      <c r="B103" s="25" t="s">
        <v>626</v>
      </c>
      <c r="C103" s="25" t="s">
        <v>626</v>
      </c>
      <c r="D103" s="25" t="s">
        <v>754</v>
      </c>
      <c r="E103" s="25" t="s">
        <v>666</v>
      </c>
      <c r="F103" s="25" t="s">
        <v>667</v>
      </c>
      <c r="G103" s="25" t="s">
        <v>650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6"/>
    </row>
    <row r="104" spans="1:30" x14ac:dyDescent="0.3">
      <c r="A104" s="34"/>
      <c r="B104" s="25" t="s">
        <v>626</v>
      </c>
      <c r="C104" s="25" t="s">
        <v>626</v>
      </c>
      <c r="D104" s="25" t="s">
        <v>755</v>
      </c>
      <c r="E104" s="25" t="s">
        <v>648</v>
      </c>
      <c r="F104" s="25" t="s">
        <v>756</v>
      </c>
      <c r="G104" s="25" t="s">
        <v>650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6"/>
    </row>
    <row r="105" spans="1:30" x14ac:dyDescent="0.3">
      <c r="A105" s="34"/>
      <c r="B105" s="25" t="s">
        <v>757</v>
      </c>
      <c r="C105" s="25" t="s">
        <v>652</v>
      </c>
      <c r="D105" s="25" t="s">
        <v>377</v>
      </c>
      <c r="E105" s="25" t="s">
        <v>621</v>
      </c>
      <c r="F105" s="25" t="s">
        <v>653</v>
      </c>
      <c r="G105" s="25" t="s">
        <v>650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6"/>
    </row>
    <row r="106" spans="1:30" x14ac:dyDescent="0.3">
      <c r="A106" s="34"/>
      <c r="B106" s="25" t="s">
        <v>758</v>
      </c>
      <c r="C106" s="25" t="s">
        <v>630</v>
      </c>
      <c r="D106" s="25" t="s">
        <v>227</v>
      </c>
      <c r="E106" s="25" t="s">
        <v>641</v>
      </c>
      <c r="F106" s="25" t="s">
        <v>632</v>
      </c>
      <c r="G106" s="25" t="s">
        <v>650</v>
      </c>
      <c r="H106" s="42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6"/>
    </row>
    <row r="107" spans="1:30" x14ac:dyDescent="0.3">
      <c r="A107" s="34"/>
      <c r="B107" s="25" t="s">
        <v>715</v>
      </c>
      <c r="C107" s="25" t="s">
        <v>630</v>
      </c>
      <c r="D107" s="25" t="s">
        <v>118</v>
      </c>
      <c r="E107" s="25" t="s">
        <v>638</v>
      </c>
      <c r="F107" s="25" t="s">
        <v>639</v>
      </c>
      <c r="G107" s="25" t="s">
        <v>650</v>
      </c>
      <c r="H107" s="42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6"/>
    </row>
    <row r="108" spans="1:30" x14ac:dyDescent="0.3">
      <c r="A108" s="34"/>
      <c r="B108" s="25" t="s">
        <v>759</v>
      </c>
      <c r="C108" s="25" t="s">
        <v>634</v>
      </c>
      <c r="D108" s="25" t="s">
        <v>137</v>
      </c>
      <c r="E108" s="25" t="s">
        <v>760</v>
      </c>
      <c r="F108" s="25" t="s">
        <v>686</v>
      </c>
      <c r="G108" s="25" t="s">
        <v>650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6"/>
    </row>
    <row r="109" spans="1:30" ht="15" thickBot="1" x14ac:dyDescent="0.35">
      <c r="A109" s="38"/>
      <c r="B109" s="39" t="s">
        <v>761</v>
      </c>
      <c r="C109" s="39" t="s">
        <v>652</v>
      </c>
      <c r="D109" s="39" t="s">
        <v>303</v>
      </c>
      <c r="E109" s="39" t="s">
        <v>752</v>
      </c>
      <c r="F109" s="39" t="s">
        <v>753</v>
      </c>
      <c r="G109" s="39" t="s">
        <v>650</v>
      </c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1"/>
    </row>
    <row r="110" spans="1:30" x14ac:dyDescent="0.3">
      <c r="A110" s="30" t="s">
        <v>581</v>
      </c>
      <c r="B110" s="31" t="s">
        <v>762</v>
      </c>
      <c r="C110" s="32" t="s">
        <v>620</v>
      </c>
      <c r="D110" s="32" t="s">
        <v>582</v>
      </c>
      <c r="E110" s="32" t="s">
        <v>621</v>
      </c>
      <c r="F110" s="32"/>
      <c r="G110" s="32" t="s">
        <v>622</v>
      </c>
      <c r="H110" s="31" t="s">
        <v>623</v>
      </c>
      <c r="I110" s="31">
        <v>99</v>
      </c>
      <c r="J110" s="31" t="s">
        <v>626</v>
      </c>
      <c r="K110" s="31" t="s">
        <v>105</v>
      </c>
      <c r="L110" s="31" t="s">
        <v>624</v>
      </c>
      <c r="M110" s="31" t="s">
        <v>624</v>
      </c>
      <c r="N110" s="31" t="s">
        <v>624</v>
      </c>
      <c r="O110" s="31" t="s">
        <v>624</v>
      </c>
      <c r="P110" s="31" t="s">
        <v>624</v>
      </c>
      <c r="Q110" s="31" t="s">
        <v>624</v>
      </c>
      <c r="R110" s="31" t="s">
        <v>625</v>
      </c>
      <c r="S110" s="31" t="s">
        <v>625</v>
      </c>
      <c r="T110" s="31" t="s">
        <v>625</v>
      </c>
      <c r="U110" s="31" t="s">
        <v>625</v>
      </c>
      <c r="V110" s="31" t="s">
        <v>626</v>
      </c>
      <c r="W110" s="31" t="s">
        <v>625</v>
      </c>
      <c r="X110" s="31" t="s">
        <v>625</v>
      </c>
      <c r="Y110" s="31" t="s">
        <v>626</v>
      </c>
      <c r="Z110" s="31" t="s">
        <v>626</v>
      </c>
      <c r="AA110" s="31" t="s">
        <v>625</v>
      </c>
      <c r="AB110" s="31" t="s">
        <v>627</v>
      </c>
      <c r="AC110" s="31" t="s">
        <v>628</v>
      </c>
      <c r="AD110" s="33" t="s">
        <v>629</v>
      </c>
    </row>
    <row r="111" spans="1:30" x14ac:dyDescent="0.3">
      <c r="A111" s="34"/>
      <c r="B111" s="35"/>
      <c r="C111" s="25" t="s">
        <v>630</v>
      </c>
      <c r="D111" s="25" t="s">
        <v>126</v>
      </c>
      <c r="E111" s="25" t="s">
        <v>760</v>
      </c>
      <c r="F111" s="25" t="s">
        <v>693</v>
      </c>
      <c r="G111" s="25" t="s">
        <v>633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6"/>
    </row>
    <row r="112" spans="1:30" x14ac:dyDescent="0.3">
      <c r="A112" s="34"/>
      <c r="B112" s="35"/>
      <c r="C112" s="25" t="s">
        <v>634</v>
      </c>
      <c r="D112" s="25" t="s">
        <v>76</v>
      </c>
      <c r="E112" s="25" t="s">
        <v>752</v>
      </c>
      <c r="F112" s="25" t="s">
        <v>763</v>
      </c>
      <c r="G112" s="25" t="s">
        <v>633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6"/>
    </row>
    <row r="113" spans="1:30" x14ac:dyDescent="0.3">
      <c r="A113" s="34"/>
      <c r="B113" s="35"/>
      <c r="C113" s="25" t="s">
        <v>637</v>
      </c>
      <c r="D113" s="25" t="s">
        <v>128</v>
      </c>
      <c r="E113" s="25" t="s">
        <v>638</v>
      </c>
      <c r="F113" s="25" t="s">
        <v>639</v>
      </c>
      <c r="G113" s="25" t="s">
        <v>633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6"/>
    </row>
    <row r="114" spans="1:30" x14ac:dyDescent="0.3">
      <c r="A114" s="34"/>
      <c r="B114" s="37"/>
      <c r="C114" s="25" t="s">
        <v>642</v>
      </c>
      <c r="D114" s="25" t="s">
        <v>134</v>
      </c>
      <c r="E114" s="25" t="s">
        <v>725</v>
      </c>
      <c r="F114" s="25" t="s">
        <v>763</v>
      </c>
      <c r="G114" s="25" t="s">
        <v>633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6"/>
    </row>
    <row r="115" spans="1:30" x14ac:dyDescent="0.3">
      <c r="A115" s="34"/>
      <c r="B115" s="25" t="s">
        <v>626</v>
      </c>
      <c r="C115" s="25" t="s">
        <v>626</v>
      </c>
      <c r="D115" s="25" t="s">
        <v>764</v>
      </c>
      <c r="E115" s="25" t="s">
        <v>666</v>
      </c>
      <c r="F115" s="25" t="s">
        <v>667</v>
      </c>
      <c r="G115" s="25" t="s">
        <v>650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6"/>
    </row>
    <row r="116" spans="1:30" x14ac:dyDescent="0.3">
      <c r="A116" s="34"/>
      <c r="B116" s="25" t="s">
        <v>626</v>
      </c>
      <c r="C116" s="25" t="s">
        <v>626</v>
      </c>
      <c r="D116" s="25" t="s">
        <v>765</v>
      </c>
      <c r="E116" s="25" t="s">
        <v>648</v>
      </c>
      <c r="F116" s="25" t="s">
        <v>756</v>
      </c>
      <c r="G116" s="25" t="s">
        <v>650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6"/>
    </row>
    <row r="117" spans="1:30" x14ac:dyDescent="0.3">
      <c r="A117" s="34"/>
      <c r="B117" s="25" t="s">
        <v>766</v>
      </c>
      <c r="C117" s="25" t="s">
        <v>652</v>
      </c>
      <c r="D117" s="25" t="s">
        <v>372</v>
      </c>
      <c r="E117" s="25" t="s">
        <v>621</v>
      </c>
      <c r="F117" s="25" t="s">
        <v>653</v>
      </c>
      <c r="G117" s="25" t="s">
        <v>650</v>
      </c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6"/>
    </row>
    <row r="118" spans="1:30" x14ac:dyDescent="0.3">
      <c r="A118" s="34"/>
      <c r="B118" s="25" t="s">
        <v>767</v>
      </c>
      <c r="C118" s="25" t="s">
        <v>630</v>
      </c>
      <c r="D118" s="25" t="s">
        <v>128</v>
      </c>
      <c r="E118" s="25" t="s">
        <v>638</v>
      </c>
      <c r="F118" s="25" t="s">
        <v>639</v>
      </c>
      <c r="G118" s="25" t="s">
        <v>650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6"/>
    </row>
    <row r="119" spans="1:30" x14ac:dyDescent="0.3">
      <c r="A119" s="34"/>
      <c r="B119" s="25" t="s">
        <v>768</v>
      </c>
      <c r="C119" s="25" t="s">
        <v>652</v>
      </c>
      <c r="D119" s="25" t="s">
        <v>76</v>
      </c>
      <c r="E119" s="25" t="s">
        <v>752</v>
      </c>
      <c r="F119" s="25" t="s">
        <v>763</v>
      </c>
      <c r="G119" s="25" t="s">
        <v>650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6"/>
    </row>
    <row r="120" spans="1:30" x14ac:dyDescent="0.3">
      <c r="A120" s="34"/>
      <c r="B120" s="25" t="s">
        <v>769</v>
      </c>
      <c r="C120" s="25" t="s">
        <v>634</v>
      </c>
      <c r="D120" s="25" t="s">
        <v>134</v>
      </c>
      <c r="E120" s="25" t="s">
        <v>725</v>
      </c>
      <c r="F120" s="25" t="s">
        <v>763</v>
      </c>
      <c r="G120" s="25" t="s">
        <v>650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6"/>
    </row>
    <row r="121" spans="1:30" ht="15" thickBot="1" x14ac:dyDescent="0.35">
      <c r="A121" s="38"/>
      <c r="B121" s="39" t="s">
        <v>770</v>
      </c>
      <c r="C121" s="39" t="s">
        <v>652</v>
      </c>
      <c r="D121" s="39" t="s">
        <v>126</v>
      </c>
      <c r="E121" s="39" t="s">
        <v>760</v>
      </c>
      <c r="F121" s="39" t="s">
        <v>693</v>
      </c>
      <c r="G121" s="39" t="s">
        <v>650</v>
      </c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1"/>
    </row>
    <row r="122" spans="1:30" x14ac:dyDescent="0.3">
      <c r="A122" s="30" t="s">
        <v>548</v>
      </c>
      <c r="B122" s="31" t="s">
        <v>771</v>
      </c>
      <c r="C122" s="32" t="s">
        <v>620</v>
      </c>
      <c r="D122" s="32" t="s">
        <v>550</v>
      </c>
      <c r="E122" s="32" t="s">
        <v>621</v>
      </c>
      <c r="F122" s="32"/>
      <c r="G122" s="32" t="s">
        <v>622</v>
      </c>
      <c r="H122" s="31" t="s">
        <v>772</v>
      </c>
      <c r="I122" s="31">
        <v>92</v>
      </c>
      <c r="J122" s="31">
        <v>44</v>
      </c>
      <c r="K122" s="31" t="s">
        <v>105</v>
      </c>
      <c r="L122" s="31" t="s">
        <v>624</v>
      </c>
      <c r="M122" s="31" t="s">
        <v>624</v>
      </c>
      <c r="N122" s="31" t="s">
        <v>773</v>
      </c>
      <c r="O122" s="31" t="s">
        <v>773</v>
      </c>
      <c r="P122" s="31" t="s">
        <v>773</v>
      </c>
      <c r="Q122" s="31" t="s">
        <v>773</v>
      </c>
      <c r="R122" s="31" t="s">
        <v>625</v>
      </c>
      <c r="S122" s="31" t="s">
        <v>625</v>
      </c>
      <c r="T122" s="31" t="s">
        <v>625</v>
      </c>
      <c r="U122" s="31" t="s">
        <v>625</v>
      </c>
      <c r="V122" s="31" t="s">
        <v>625</v>
      </c>
      <c r="W122" s="31" t="s">
        <v>625</v>
      </c>
      <c r="X122" s="31" t="s">
        <v>625</v>
      </c>
      <c r="Y122" s="31" t="s">
        <v>703</v>
      </c>
      <c r="Z122" s="31" t="s">
        <v>626</v>
      </c>
      <c r="AA122" s="31" t="s">
        <v>703</v>
      </c>
      <c r="AB122" s="31" t="s">
        <v>704</v>
      </c>
      <c r="AC122" s="31" t="s">
        <v>774</v>
      </c>
      <c r="AD122" s="33" t="s">
        <v>775</v>
      </c>
    </row>
    <row r="123" spans="1:30" x14ac:dyDescent="0.3">
      <c r="A123" s="34"/>
      <c r="B123" s="35"/>
      <c r="C123" s="25" t="s">
        <v>630</v>
      </c>
      <c r="D123" s="25" t="s">
        <v>267</v>
      </c>
      <c r="E123" s="25" t="s">
        <v>631</v>
      </c>
      <c r="F123" s="25" t="s">
        <v>632</v>
      </c>
      <c r="G123" s="25" t="s">
        <v>633</v>
      </c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6"/>
    </row>
    <row r="124" spans="1:30" x14ac:dyDescent="0.3">
      <c r="A124" s="34"/>
      <c r="B124" s="35"/>
      <c r="C124" s="25" t="s">
        <v>637</v>
      </c>
      <c r="D124" s="25" t="s">
        <v>67</v>
      </c>
      <c r="E124" s="25" t="s">
        <v>638</v>
      </c>
      <c r="F124" s="25" t="s">
        <v>639</v>
      </c>
      <c r="G124" s="25" t="s">
        <v>633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6"/>
    </row>
    <row r="125" spans="1:30" x14ac:dyDescent="0.3">
      <c r="A125" s="34"/>
      <c r="B125" s="37"/>
      <c r="C125" s="25" t="s">
        <v>645</v>
      </c>
      <c r="D125" s="25" t="s">
        <v>549</v>
      </c>
      <c r="E125" s="25" t="s">
        <v>776</v>
      </c>
      <c r="F125" s="25" t="s">
        <v>777</v>
      </c>
      <c r="G125" s="25" t="s">
        <v>633</v>
      </c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6"/>
    </row>
    <row r="126" spans="1:30" x14ac:dyDescent="0.3">
      <c r="A126" s="34"/>
      <c r="B126" s="25" t="s">
        <v>626</v>
      </c>
      <c r="C126" s="25" t="s">
        <v>626</v>
      </c>
      <c r="D126" s="25" t="s">
        <v>778</v>
      </c>
      <c r="E126" s="25" t="s">
        <v>666</v>
      </c>
      <c r="F126" s="25" t="s">
        <v>667</v>
      </c>
      <c r="G126" s="25" t="s">
        <v>650</v>
      </c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6"/>
    </row>
    <row r="127" spans="1:30" x14ac:dyDescent="0.3">
      <c r="A127" s="34"/>
      <c r="B127" s="25" t="s">
        <v>626</v>
      </c>
      <c r="C127" s="25" t="s">
        <v>626</v>
      </c>
      <c r="D127" s="25" t="s">
        <v>755</v>
      </c>
      <c r="E127" s="25" t="s">
        <v>648</v>
      </c>
      <c r="F127" s="25" t="s">
        <v>756</v>
      </c>
      <c r="G127" s="25" t="s">
        <v>650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6"/>
    </row>
    <row r="128" spans="1:30" x14ac:dyDescent="0.3">
      <c r="A128" s="34"/>
      <c r="B128" s="25" t="s">
        <v>779</v>
      </c>
      <c r="C128" s="25" t="s">
        <v>652</v>
      </c>
      <c r="D128" s="25" t="s">
        <v>347</v>
      </c>
      <c r="E128" s="25" t="s">
        <v>621</v>
      </c>
      <c r="F128" s="25" t="s">
        <v>653</v>
      </c>
      <c r="G128" s="25" t="s">
        <v>650</v>
      </c>
      <c r="H128" s="42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6"/>
    </row>
    <row r="129" spans="1:30" x14ac:dyDescent="0.3">
      <c r="A129" s="34"/>
      <c r="B129" s="25" t="s">
        <v>780</v>
      </c>
      <c r="C129" s="25" t="s">
        <v>630</v>
      </c>
      <c r="D129" s="25" t="s">
        <v>267</v>
      </c>
      <c r="E129" s="25" t="s">
        <v>631</v>
      </c>
      <c r="F129" s="25" t="s">
        <v>632</v>
      </c>
      <c r="G129" s="25" t="s">
        <v>650</v>
      </c>
      <c r="H129" s="42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6"/>
    </row>
    <row r="130" spans="1:30" ht="15" thickBot="1" x14ac:dyDescent="0.35">
      <c r="A130" s="38"/>
      <c r="B130" s="39" t="s">
        <v>781</v>
      </c>
      <c r="C130" s="39" t="s">
        <v>630</v>
      </c>
      <c r="D130" s="39" t="s">
        <v>67</v>
      </c>
      <c r="E130" s="39" t="s">
        <v>638</v>
      </c>
      <c r="F130" s="39" t="s">
        <v>639</v>
      </c>
      <c r="G130" s="39" t="s">
        <v>650</v>
      </c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1"/>
    </row>
    <row r="131" spans="1:30" x14ac:dyDescent="0.3">
      <c r="A131" s="30" t="s">
        <v>544</v>
      </c>
      <c r="B131" s="31" t="s">
        <v>782</v>
      </c>
      <c r="C131" s="32" t="s">
        <v>620</v>
      </c>
      <c r="D131" s="32" t="s">
        <v>545</v>
      </c>
      <c r="E131" s="32" t="s">
        <v>621</v>
      </c>
      <c r="F131" s="32"/>
      <c r="G131" s="32" t="s">
        <v>622</v>
      </c>
      <c r="H131" s="31" t="s">
        <v>702</v>
      </c>
      <c r="I131" s="31">
        <v>91</v>
      </c>
      <c r="J131" s="31">
        <v>43</v>
      </c>
      <c r="K131" s="31" t="s">
        <v>105</v>
      </c>
      <c r="L131" s="31" t="s">
        <v>624</v>
      </c>
      <c r="M131" s="31" t="s">
        <v>624</v>
      </c>
      <c r="N131" s="31" t="s">
        <v>624</v>
      </c>
      <c r="O131" s="31" t="s">
        <v>624</v>
      </c>
      <c r="P131" s="31" t="s">
        <v>624</v>
      </c>
      <c r="Q131" s="31" t="s">
        <v>624</v>
      </c>
      <c r="R131" s="31" t="s">
        <v>625</v>
      </c>
      <c r="S131" s="31" t="s">
        <v>625</v>
      </c>
      <c r="T131" s="31" t="s">
        <v>625</v>
      </c>
      <c r="U131" s="31" t="s">
        <v>625</v>
      </c>
      <c r="V131" s="31" t="s">
        <v>626</v>
      </c>
      <c r="W131" s="31" t="s">
        <v>625</v>
      </c>
      <c r="X131" s="31" t="s">
        <v>625</v>
      </c>
      <c r="Y131" s="31" t="s">
        <v>625</v>
      </c>
      <c r="Z131" s="31" t="s">
        <v>626</v>
      </c>
      <c r="AA131" s="31" t="s">
        <v>625</v>
      </c>
      <c r="AB131" s="31" t="s">
        <v>627</v>
      </c>
      <c r="AC131" s="31" t="s">
        <v>628</v>
      </c>
      <c r="AD131" s="33" t="s">
        <v>706</v>
      </c>
    </row>
    <row r="132" spans="1:30" x14ac:dyDescent="0.3">
      <c r="A132" s="34"/>
      <c r="B132" s="35"/>
      <c r="C132" s="25" t="s">
        <v>652</v>
      </c>
      <c r="D132" s="25" t="s">
        <v>206</v>
      </c>
      <c r="E132" s="25" t="s">
        <v>783</v>
      </c>
      <c r="F132" s="25" t="s">
        <v>743</v>
      </c>
      <c r="G132" s="25" t="s">
        <v>633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6"/>
    </row>
    <row r="133" spans="1:30" x14ac:dyDescent="0.3">
      <c r="A133" s="34"/>
      <c r="B133" s="35"/>
      <c r="C133" s="25" t="s">
        <v>630</v>
      </c>
      <c r="D133" s="25" t="s">
        <v>261</v>
      </c>
      <c r="E133" s="25" t="s">
        <v>631</v>
      </c>
      <c r="F133" s="25" t="s">
        <v>632</v>
      </c>
      <c r="G133" s="25" t="s">
        <v>633</v>
      </c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6"/>
    </row>
    <row r="134" spans="1:30" x14ac:dyDescent="0.3">
      <c r="A134" s="34"/>
      <c r="B134" s="35"/>
      <c r="C134" s="25" t="s">
        <v>634</v>
      </c>
      <c r="D134" s="25" t="s">
        <v>334</v>
      </c>
      <c r="E134" s="25" t="s">
        <v>641</v>
      </c>
      <c r="F134" s="25" t="s">
        <v>632</v>
      </c>
      <c r="G134" s="25" t="s">
        <v>633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6"/>
    </row>
    <row r="135" spans="1:30" x14ac:dyDescent="0.3">
      <c r="A135" s="34"/>
      <c r="B135" s="35"/>
      <c r="C135" s="25" t="s">
        <v>637</v>
      </c>
      <c r="D135" s="25" t="s">
        <v>56</v>
      </c>
      <c r="E135" s="25" t="s">
        <v>638</v>
      </c>
      <c r="F135" s="25" t="s">
        <v>639</v>
      </c>
      <c r="G135" s="25" t="s">
        <v>633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6"/>
    </row>
    <row r="136" spans="1:30" x14ac:dyDescent="0.3">
      <c r="A136" s="34"/>
      <c r="B136" s="35"/>
      <c r="C136" s="25" t="s">
        <v>640</v>
      </c>
      <c r="D136" s="126" t="s">
        <v>1293</v>
      </c>
      <c r="E136" s="25" t="s">
        <v>707</v>
      </c>
      <c r="F136" s="25" t="s">
        <v>784</v>
      </c>
      <c r="G136" s="25" t="s">
        <v>633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6"/>
    </row>
    <row r="137" spans="1:30" x14ac:dyDescent="0.3">
      <c r="A137" s="34"/>
      <c r="B137" s="37"/>
      <c r="C137" s="25" t="s">
        <v>642</v>
      </c>
      <c r="D137" s="25" t="s">
        <v>436</v>
      </c>
      <c r="E137" s="25" t="s">
        <v>688</v>
      </c>
      <c r="F137" s="25" t="s">
        <v>763</v>
      </c>
      <c r="G137" s="25" t="s">
        <v>633</v>
      </c>
      <c r="H137" s="42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6"/>
    </row>
    <row r="138" spans="1:30" x14ac:dyDescent="0.3">
      <c r="A138" s="34"/>
      <c r="B138" s="25" t="s">
        <v>626</v>
      </c>
      <c r="C138" s="25" t="s">
        <v>626</v>
      </c>
      <c r="D138" s="25" t="s">
        <v>546</v>
      </c>
      <c r="E138" s="25" t="s">
        <v>677</v>
      </c>
      <c r="F138" s="25" t="s">
        <v>649</v>
      </c>
      <c r="G138" s="25" t="s">
        <v>650</v>
      </c>
      <c r="H138" s="42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6"/>
    </row>
    <row r="139" spans="1:30" x14ac:dyDescent="0.3">
      <c r="A139" s="34"/>
      <c r="B139" s="25" t="s">
        <v>785</v>
      </c>
      <c r="C139" s="25" t="s">
        <v>652</v>
      </c>
      <c r="D139" s="25" t="s">
        <v>338</v>
      </c>
      <c r="E139" s="25" t="s">
        <v>621</v>
      </c>
      <c r="F139" s="25" t="s">
        <v>653</v>
      </c>
      <c r="G139" s="25" t="s">
        <v>650</v>
      </c>
      <c r="H139" s="42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6"/>
    </row>
    <row r="140" spans="1:30" x14ac:dyDescent="0.3">
      <c r="A140" s="34"/>
      <c r="B140" s="25" t="s">
        <v>786</v>
      </c>
      <c r="C140" s="25" t="s">
        <v>652</v>
      </c>
      <c r="D140" s="25" t="s">
        <v>261</v>
      </c>
      <c r="E140" s="25" t="s">
        <v>631</v>
      </c>
      <c r="F140" s="25" t="s">
        <v>632</v>
      </c>
      <c r="G140" s="25" t="s">
        <v>650</v>
      </c>
      <c r="H140" s="42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6"/>
    </row>
    <row r="141" spans="1:30" x14ac:dyDescent="0.3">
      <c r="A141" s="34"/>
      <c r="B141" s="25" t="s">
        <v>787</v>
      </c>
      <c r="C141" s="25" t="s">
        <v>634</v>
      </c>
      <c r="D141" s="25" t="s">
        <v>334</v>
      </c>
      <c r="E141" s="25" t="s">
        <v>641</v>
      </c>
      <c r="F141" s="25" t="s">
        <v>632</v>
      </c>
      <c r="G141" s="25" t="s">
        <v>650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6"/>
    </row>
    <row r="142" spans="1:30" x14ac:dyDescent="0.3">
      <c r="A142" s="34"/>
      <c r="B142" s="25" t="s">
        <v>788</v>
      </c>
      <c r="C142" s="25" t="s">
        <v>630</v>
      </c>
      <c r="D142" s="25" t="s">
        <v>56</v>
      </c>
      <c r="E142" s="25" t="s">
        <v>638</v>
      </c>
      <c r="F142" s="25" t="s">
        <v>639</v>
      </c>
      <c r="G142" s="25" t="s">
        <v>650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6"/>
    </row>
    <row r="143" spans="1:30" ht="15" thickBot="1" x14ac:dyDescent="0.35">
      <c r="A143" s="38"/>
      <c r="B143" s="39" t="s">
        <v>789</v>
      </c>
      <c r="C143" s="39" t="s">
        <v>630</v>
      </c>
      <c r="D143" s="39" t="s">
        <v>436</v>
      </c>
      <c r="E143" s="39" t="s">
        <v>688</v>
      </c>
      <c r="F143" s="39" t="s">
        <v>763</v>
      </c>
      <c r="G143" s="39" t="s">
        <v>650</v>
      </c>
      <c r="H143" s="39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1"/>
    </row>
    <row r="144" spans="1:30" x14ac:dyDescent="0.3">
      <c r="A144" s="30" t="s">
        <v>539</v>
      </c>
      <c r="B144" s="31" t="s">
        <v>790</v>
      </c>
      <c r="C144" s="32" t="s">
        <v>620</v>
      </c>
      <c r="D144" s="32" t="s">
        <v>540</v>
      </c>
      <c r="E144" s="32" t="s">
        <v>621</v>
      </c>
      <c r="F144" s="32"/>
      <c r="G144" s="32" t="s">
        <v>622</v>
      </c>
      <c r="H144" s="31" t="s">
        <v>702</v>
      </c>
      <c r="I144" s="31">
        <v>90</v>
      </c>
      <c r="J144" s="31">
        <v>42</v>
      </c>
      <c r="K144" s="31" t="s">
        <v>105</v>
      </c>
      <c r="L144" s="31" t="s">
        <v>624</v>
      </c>
      <c r="M144" s="31" t="s">
        <v>624</v>
      </c>
      <c r="N144" s="31" t="s">
        <v>624</v>
      </c>
      <c r="O144" s="31" t="s">
        <v>624</v>
      </c>
      <c r="P144" s="31" t="s">
        <v>624</v>
      </c>
      <c r="Q144" s="31" t="s">
        <v>624</v>
      </c>
      <c r="R144" s="31" t="s">
        <v>625</v>
      </c>
      <c r="S144" s="31" t="s">
        <v>625</v>
      </c>
      <c r="T144" s="31" t="s">
        <v>625</v>
      </c>
      <c r="U144" s="31" t="s">
        <v>625</v>
      </c>
      <c r="V144" s="31" t="s">
        <v>626</v>
      </c>
      <c r="W144" s="31" t="s">
        <v>625</v>
      </c>
      <c r="X144" s="31" t="s">
        <v>625</v>
      </c>
      <c r="Y144" s="31" t="s">
        <v>625</v>
      </c>
      <c r="Z144" s="31" t="s">
        <v>626</v>
      </c>
      <c r="AA144" s="31" t="s">
        <v>625</v>
      </c>
      <c r="AB144" s="31" t="s">
        <v>791</v>
      </c>
      <c r="AC144" s="31" t="s">
        <v>792</v>
      </c>
      <c r="AD144" s="33" t="s">
        <v>706</v>
      </c>
    </row>
    <row r="145" spans="1:30" x14ac:dyDescent="0.3">
      <c r="A145" s="34"/>
      <c r="B145" s="35"/>
      <c r="C145" s="25" t="s">
        <v>652</v>
      </c>
      <c r="D145" s="25" t="s">
        <v>541</v>
      </c>
      <c r="E145" s="25" t="s">
        <v>688</v>
      </c>
      <c r="F145" s="25" t="s">
        <v>793</v>
      </c>
      <c r="G145" s="25" t="s">
        <v>633</v>
      </c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6"/>
    </row>
    <row r="146" spans="1:30" x14ac:dyDescent="0.3">
      <c r="A146" s="34"/>
      <c r="B146" s="35"/>
      <c r="C146" s="25" t="s">
        <v>630</v>
      </c>
      <c r="D146" s="25" t="s">
        <v>255</v>
      </c>
      <c r="E146" s="25" t="s">
        <v>631</v>
      </c>
      <c r="F146" s="25" t="s">
        <v>632</v>
      </c>
      <c r="G146" s="25" t="s">
        <v>633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6"/>
    </row>
    <row r="147" spans="1:30" x14ac:dyDescent="0.3">
      <c r="A147" s="34"/>
      <c r="B147" s="35"/>
      <c r="C147" s="25" t="s">
        <v>634</v>
      </c>
      <c r="D147" s="25" t="s">
        <v>90</v>
      </c>
      <c r="E147" s="25" t="s">
        <v>720</v>
      </c>
      <c r="F147" s="126" t="s">
        <v>869</v>
      </c>
      <c r="G147" s="25" t="s">
        <v>633</v>
      </c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6"/>
    </row>
    <row r="148" spans="1:30" x14ac:dyDescent="0.3">
      <c r="A148" s="34"/>
      <c r="B148" s="35"/>
      <c r="C148" s="25" t="s">
        <v>640</v>
      </c>
      <c r="D148" s="25" t="s">
        <v>135</v>
      </c>
      <c r="E148" s="25" t="s">
        <v>638</v>
      </c>
      <c r="F148" s="25" t="s">
        <v>639</v>
      </c>
      <c r="G148" s="25" t="s">
        <v>633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6"/>
    </row>
    <row r="149" spans="1:30" x14ac:dyDescent="0.3">
      <c r="A149" s="34"/>
      <c r="B149" s="37"/>
      <c r="C149" s="25" t="s">
        <v>642</v>
      </c>
      <c r="D149" s="25" t="s">
        <v>327</v>
      </c>
      <c r="E149" s="25" t="s">
        <v>641</v>
      </c>
      <c r="F149" s="25" t="s">
        <v>632</v>
      </c>
      <c r="G149" s="25" t="s">
        <v>633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6"/>
    </row>
    <row r="150" spans="1:30" x14ac:dyDescent="0.3">
      <c r="A150" s="34"/>
      <c r="B150" s="25" t="s">
        <v>626</v>
      </c>
      <c r="C150" s="25" t="s">
        <v>626</v>
      </c>
      <c r="D150" s="25" t="s">
        <v>542</v>
      </c>
      <c r="E150" s="25" t="s">
        <v>677</v>
      </c>
      <c r="F150" s="25" t="s">
        <v>756</v>
      </c>
      <c r="G150" s="25" t="s">
        <v>650</v>
      </c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6"/>
    </row>
    <row r="151" spans="1:30" x14ac:dyDescent="0.3">
      <c r="A151" s="34"/>
      <c r="B151" s="25" t="s">
        <v>794</v>
      </c>
      <c r="C151" s="25" t="s">
        <v>630</v>
      </c>
      <c r="D151" s="25" t="s">
        <v>215</v>
      </c>
      <c r="E151" s="25" t="s">
        <v>783</v>
      </c>
      <c r="F151" s="25" t="s">
        <v>731</v>
      </c>
      <c r="G151" s="25" t="s">
        <v>650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6"/>
    </row>
    <row r="152" spans="1:30" x14ac:dyDescent="0.3">
      <c r="A152" s="34"/>
      <c r="B152" s="25" t="s">
        <v>795</v>
      </c>
      <c r="C152" s="25" t="s">
        <v>652</v>
      </c>
      <c r="D152" s="25" t="s">
        <v>329</v>
      </c>
      <c r="E152" s="25" t="s">
        <v>621</v>
      </c>
      <c r="F152" s="25" t="s">
        <v>653</v>
      </c>
      <c r="G152" s="25" t="s">
        <v>650</v>
      </c>
      <c r="H152" s="42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6"/>
    </row>
    <row r="153" spans="1:30" x14ac:dyDescent="0.3">
      <c r="A153" s="34"/>
      <c r="B153" s="25" t="s">
        <v>796</v>
      </c>
      <c r="C153" s="25" t="s">
        <v>652</v>
      </c>
      <c r="D153" s="25" t="s">
        <v>255</v>
      </c>
      <c r="E153" s="25" t="s">
        <v>631</v>
      </c>
      <c r="F153" s="25" t="s">
        <v>632</v>
      </c>
      <c r="G153" s="25" t="s">
        <v>650</v>
      </c>
      <c r="H153" s="42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6"/>
    </row>
    <row r="154" spans="1:30" x14ac:dyDescent="0.3">
      <c r="A154" s="34"/>
      <c r="B154" s="25" t="s">
        <v>797</v>
      </c>
      <c r="C154" s="25" t="s">
        <v>637</v>
      </c>
      <c r="D154" s="25" t="s">
        <v>327</v>
      </c>
      <c r="E154" s="25" t="s">
        <v>641</v>
      </c>
      <c r="F154" s="25" t="s">
        <v>632</v>
      </c>
      <c r="G154" s="25" t="s">
        <v>650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6"/>
    </row>
    <row r="155" spans="1:30" x14ac:dyDescent="0.3">
      <c r="A155" s="34"/>
      <c r="B155" s="25" t="s">
        <v>746</v>
      </c>
      <c r="C155" s="25" t="s">
        <v>637</v>
      </c>
      <c r="D155" s="25" t="s">
        <v>135</v>
      </c>
      <c r="E155" s="25" t="s">
        <v>638</v>
      </c>
      <c r="F155" s="25" t="s">
        <v>639</v>
      </c>
      <c r="G155" s="25" t="s">
        <v>650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6"/>
    </row>
    <row r="156" spans="1:30" ht="15" thickBot="1" x14ac:dyDescent="0.35">
      <c r="A156" s="38"/>
      <c r="B156" s="39" t="s">
        <v>798</v>
      </c>
      <c r="C156" s="39" t="s">
        <v>652</v>
      </c>
      <c r="D156" s="39" t="s">
        <v>541</v>
      </c>
      <c r="E156" s="39" t="s">
        <v>688</v>
      </c>
      <c r="F156" s="39" t="s">
        <v>793</v>
      </c>
      <c r="G156" s="39" t="s">
        <v>650</v>
      </c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1"/>
    </row>
    <row r="157" spans="1:30" x14ac:dyDescent="0.3">
      <c r="A157" s="30" t="s">
        <v>534</v>
      </c>
      <c r="B157" s="31" t="s">
        <v>799</v>
      </c>
      <c r="C157" s="32" t="s">
        <v>620</v>
      </c>
      <c r="D157" s="32" t="s">
        <v>535</v>
      </c>
      <c r="E157" s="32" t="s">
        <v>621</v>
      </c>
      <c r="F157" s="32"/>
      <c r="G157" s="32" t="s">
        <v>622</v>
      </c>
      <c r="H157" s="31" t="s">
        <v>623</v>
      </c>
      <c r="I157" s="31">
        <v>89</v>
      </c>
      <c r="J157" s="31">
        <v>41</v>
      </c>
      <c r="K157" s="31" t="s">
        <v>105</v>
      </c>
      <c r="L157" s="31" t="s">
        <v>624</v>
      </c>
      <c r="M157" s="31" t="s">
        <v>624</v>
      </c>
      <c r="N157" s="31" t="s">
        <v>624</v>
      </c>
      <c r="O157" s="31" t="s">
        <v>624</v>
      </c>
      <c r="P157" s="31" t="s">
        <v>624</v>
      </c>
      <c r="Q157" s="31" t="s">
        <v>624</v>
      </c>
      <c r="R157" s="31" t="s">
        <v>625</v>
      </c>
      <c r="S157" s="31" t="s">
        <v>625</v>
      </c>
      <c r="T157" s="31" t="s">
        <v>625</v>
      </c>
      <c r="U157" s="31" t="s">
        <v>625</v>
      </c>
      <c r="V157" s="31" t="s">
        <v>626</v>
      </c>
      <c r="W157" s="31" t="s">
        <v>625</v>
      </c>
      <c r="X157" s="31" t="s">
        <v>625</v>
      </c>
      <c r="Y157" s="31" t="s">
        <v>626</v>
      </c>
      <c r="Z157" s="31" t="s">
        <v>626</v>
      </c>
      <c r="AA157" s="31" t="s">
        <v>625</v>
      </c>
      <c r="AB157" s="31" t="s">
        <v>627</v>
      </c>
      <c r="AC157" s="31" t="s">
        <v>628</v>
      </c>
      <c r="AD157" s="33" t="s">
        <v>629</v>
      </c>
    </row>
    <row r="158" spans="1:30" x14ac:dyDescent="0.3">
      <c r="A158" s="34"/>
      <c r="B158" s="35"/>
      <c r="C158" s="25" t="s">
        <v>652</v>
      </c>
      <c r="D158" s="25" t="s">
        <v>536</v>
      </c>
      <c r="E158" s="25" t="s">
        <v>688</v>
      </c>
      <c r="F158" s="25" t="s">
        <v>800</v>
      </c>
      <c r="G158" s="25" t="s">
        <v>633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6"/>
    </row>
    <row r="159" spans="1:30" x14ac:dyDescent="0.3">
      <c r="A159" s="34"/>
      <c r="B159" s="35"/>
      <c r="C159" s="25" t="s">
        <v>630</v>
      </c>
      <c r="D159" s="25" t="s">
        <v>250</v>
      </c>
      <c r="E159" s="25" t="s">
        <v>631</v>
      </c>
      <c r="F159" s="25" t="s">
        <v>632</v>
      </c>
      <c r="G159" s="25" t="s">
        <v>633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6"/>
    </row>
    <row r="160" spans="1:30" x14ac:dyDescent="0.3">
      <c r="A160" s="34"/>
      <c r="B160" s="35"/>
      <c r="C160" s="25" t="s">
        <v>640</v>
      </c>
      <c r="D160" s="25" t="s">
        <v>127</v>
      </c>
      <c r="E160" s="25" t="s">
        <v>638</v>
      </c>
      <c r="F160" s="25" t="s">
        <v>639</v>
      </c>
      <c r="G160" s="25" t="s">
        <v>633</v>
      </c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6"/>
    </row>
    <row r="161" spans="1:30" x14ac:dyDescent="0.3">
      <c r="A161" s="34"/>
      <c r="B161" s="37"/>
      <c r="C161" s="25" t="s">
        <v>642</v>
      </c>
      <c r="D161" s="25" t="s">
        <v>319</v>
      </c>
      <c r="E161" s="25" t="s">
        <v>641</v>
      </c>
      <c r="F161" s="25" t="s">
        <v>632</v>
      </c>
      <c r="G161" s="25" t="s">
        <v>633</v>
      </c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6"/>
    </row>
    <row r="162" spans="1:30" x14ac:dyDescent="0.3">
      <c r="A162" s="34"/>
      <c r="B162" s="25" t="s">
        <v>626</v>
      </c>
      <c r="C162" s="25" t="s">
        <v>626</v>
      </c>
      <c r="D162" s="25" t="s">
        <v>801</v>
      </c>
      <c r="E162" s="25" t="s">
        <v>666</v>
      </c>
      <c r="F162" s="25" t="s">
        <v>667</v>
      </c>
      <c r="G162" s="25" t="s">
        <v>650</v>
      </c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6"/>
    </row>
    <row r="163" spans="1:30" x14ac:dyDescent="0.3">
      <c r="A163" s="34"/>
      <c r="B163" s="25" t="s">
        <v>626</v>
      </c>
      <c r="C163" s="25" t="s">
        <v>626</v>
      </c>
      <c r="D163" s="25" t="s">
        <v>802</v>
      </c>
      <c r="E163" s="25" t="s">
        <v>677</v>
      </c>
      <c r="F163" s="25" t="s">
        <v>756</v>
      </c>
      <c r="G163" s="25" t="s">
        <v>650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6"/>
    </row>
    <row r="164" spans="1:30" x14ac:dyDescent="0.3">
      <c r="A164" s="34"/>
      <c r="B164" s="25" t="s">
        <v>803</v>
      </c>
      <c r="C164" s="25" t="s">
        <v>652</v>
      </c>
      <c r="D164" s="25" t="s">
        <v>322</v>
      </c>
      <c r="E164" s="25" t="s">
        <v>621</v>
      </c>
      <c r="F164" s="25" t="s">
        <v>653</v>
      </c>
      <c r="G164" s="25" t="s">
        <v>650</v>
      </c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6"/>
    </row>
    <row r="165" spans="1:30" x14ac:dyDescent="0.3">
      <c r="A165" s="34"/>
      <c r="B165" s="25" t="s">
        <v>804</v>
      </c>
      <c r="C165" s="25" t="s">
        <v>630</v>
      </c>
      <c r="D165" s="25" t="s">
        <v>250</v>
      </c>
      <c r="E165" s="25" t="s">
        <v>631</v>
      </c>
      <c r="F165" s="25" t="s">
        <v>632</v>
      </c>
      <c r="G165" s="25" t="s">
        <v>650</v>
      </c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6"/>
    </row>
    <row r="166" spans="1:30" x14ac:dyDescent="0.3">
      <c r="A166" s="34"/>
      <c r="B166" s="25" t="s">
        <v>805</v>
      </c>
      <c r="C166" s="25" t="s">
        <v>637</v>
      </c>
      <c r="D166" s="25" t="s">
        <v>319</v>
      </c>
      <c r="E166" s="25" t="s">
        <v>641</v>
      </c>
      <c r="F166" s="25" t="s">
        <v>632</v>
      </c>
      <c r="G166" s="25" t="s">
        <v>650</v>
      </c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6"/>
    </row>
    <row r="167" spans="1:30" x14ac:dyDescent="0.3">
      <c r="A167" s="34"/>
      <c r="B167" s="25" t="s">
        <v>806</v>
      </c>
      <c r="C167" s="25" t="s">
        <v>637</v>
      </c>
      <c r="D167" s="25" t="s">
        <v>127</v>
      </c>
      <c r="E167" s="25" t="s">
        <v>638</v>
      </c>
      <c r="F167" s="25" t="s">
        <v>639</v>
      </c>
      <c r="G167" s="25" t="s">
        <v>650</v>
      </c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6"/>
    </row>
    <row r="168" spans="1:30" ht="15" thickBot="1" x14ac:dyDescent="0.35">
      <c r="A168" s="38"/>
      <c r="B168" s="39" t="s">
        <v>807</v>
      </c>
      <c r="C168" s="39" t="s">
        <v>652</v>
      </c>
      <c r="D168" s="39" t="s">
        <v>536</v>
      </c>
      <c r="E168" s="39" t="s">
        <v>688</v>
      </c>
      <c r="F168" s="39" t="s">
        <v>800</v>
      </c>
      <c r="G168" s="39" t="s">
        <v>650</v>
      </c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1"/>
    </row>
    <row r="169" spans="1:30" x14ac:dyDescent="0.3">
      <c r="A169" s="30" t="s">
        <v>530</v>
      </c>
      <c r="B169" s="31" t="s">
        <v>808</v>
      </c>
      <c r="C169" s="32" t="s">
        <v>620</v>
      </c>
      <c r="D169" s="32" t="s">
        <v>531</v>
      </c>
      <c r="E169" s="32" t="s">
        <v>621</v>
      </c>
      <c r="F169" s="32"/>
      <c r="G169" s="32" t="s">
        <v>622</v>
      </c>
      <c r="H169" s="31" t="s">
        <v>623</v>
      </c>
      <c r="I169" s="31">
        <v>88</v>
      </c>
      <c r="J169" s="31" t="s">
        <v>626</v>
      </c>
      <c r="K169" s="31" t="s">
        <v>105</v>
      </c>
      <c r="L169" s="31" t="s">
        <v>624</v>
      </c>
      <c r="M169" s="31" t="s">
        <v>624</v>
      </c>
      <c r="N169" s="31" t="s">
        <v>624</v>
      </c>
      <c r="O169" s="31" t="s">
        <v>624</v>
      </c>
      <c r="P169" s="31" t="s">
        <v>624</v>
      </c>
      <c r="Q169" s="31" t="s">
        <v>624</v>
      </c>
      <c r="R169" s="31" t="s">
        <v>625</v>
      </c>
      <c r="S169" s="31" t="s">
        <v>625</v>
      </c>
      <c r="T169" s="31" t="s">
        <v>625</v>
      </c>
      <c r="U169" s="31" t="s">
        <v>625</v>
      </c>
      <c r="V169" s="31" t="s">
        <v>626</v>
      </c>
      <c r="W169" s="31" t="s">
        <v>625</v>
      </c>
      <c r="X169" s="31" t="s">
        <v>625</v>
      </c>
      <c r="Y169" s="31" t="s">
        <v>626</v>
      </c>
      <c r="Z169" s="31" t="s">
        <v>626</v>
      </c>
      <c r="AA169" s="31" t="s">
        <v>625</v>
      </c>
      <c r="AB169" s="31" t="s">
        <v>627</v>
      </c>
      <c r="AC169" s="31" t="s">
        <v>628</v>
      </c>
      <c r="AD169" s="33" t="s">
        <v>629</v>
      </c>
    </row>
    <row r="170" spans="1:30" x14ac:dyDescent="0.3">
      <c r="A170" s="34"/>
      <c r="B170" s="35"/>
      <c r="C170" s="25" t="s">
        <v>630</v>
      </c>
      <c r="D170" s="25" t="s">
        <v>294</v>
      </c>
      <c r="E170" s="25" t="s">
        <v>641</v>
      </c>
      <c r="F170" s="25" t="s">
        <v>632</v>
      </c>
      <c r="G170" s="25" t="s">
        <v>633</v>
      </c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6"/>
    </row>
    <row r="171" spans="1:30" x14ac:dyDescent="0.3">
      <c r="A171" s="34"/>
      <c r="B171" s="35"/>
      <c r="C171" s="25" t="s">
        <v>634</v>
      </c>
      <c r="D171" s="25" t="s">
        <v>397</v>
      </c>
      <c r="E171" s="25" t="s">
        <v>688</v>
      </c>
      <c r="F171" s="25" t="s">
        <v>809</v>
      </c>
      <c r="G171" s="25" t="s">
        <v>633</v>
      </c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6"/>
    </row>
    <row r="172" spans="1:30" x14ac:dyDescent="0.3">
      <c r="A172" s="34"/>
      <c r="B172" s="37"/>
      <c r="C172" s="25" t="s">
        <v>642</v>
      </c>
      <c r="D172" s="25" t="s">
        <v>273</v>
      </c>
      <c r="E172" s="25" t="s">
        <v>638</v>
      </c>
      <c r="F172" s="25" t="s">
        <v>639</v>
      </c>
      <c r="G172" s="25" t="s">
        <v>633</v>
      </c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6"/>
    </row>
    <row r="173" spans="1:30" x14ac:dyDescent="0.3">
      <c r="A173" s="34"/>
      <c r="B173" s="25" t="s">
        <v>626</v>
      </c>
      <c r="C173" s="25" t="s">
        <v>626</v>
      </c>
      <c r="D173" s="25" t="s">
        <v>532</v>
      </c>
      <c r="E173" s="25" t="s">
        <v>677</v>
      </c>
      <c r="F173" s="25" t="s">
        <v>756</v>
      </c>
      <c r="G173" s="25" t="s">
        <v>650</v>
      </c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6"/>
    </row>
    <row r="174" spans="1:30" x14ac:dyDescent="0.3">
      <c r="A174" s="34"/>
      <c r="B174" s="25" t="s">
        <v>810</v>
      </c>
      <c r="C174" s="25" t="s">
        <v>652</v>
      </c>
      <c r="D174" s="25" t="s">
        <v>297</v>
      </c>
      <c r="E174" s="25" t="s">
        <v>621</v>
      </c>
      <c r="F174" s="25" t="s">
        <v>653</v>
      </c>
      <c r="G174" s="25" t="s">
        <v>650</v>
      </c>
      <c r="H174" s="42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6"/>
    </row>
    <row r="175" spans="1:30" x14ac:dyDescent="0.3">
      <c r="A175" s="34"/>
      <c r="B175" s="25" t="s">
        <v>811</v>
      </c>
      <c r="C175" s="25" t="s">
        <v>645</v>
      </c>
      <c r="D175" s="25" t="s">
        <v>294</v>
      </c>
      <c r="E175" s="25" t="s">
        <v>641</v>
      </c>
      <c r="F175" s="25" t="s">
        <v>632</v>
      </c>
      <c r="G175" s="25" t="s">
        <v>650</v>
      </c>
      <c r="H175" s="42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6"/>
    </row>
    <row r="176" spans="1:30" x14ac:dyDescent="0.3">
      <c r="A176" s="34"/>
      <c r="B176" s="25" t="s">
        <v>812</v>
      </c>
      <c r="C176" s="25" t="s">
        <v>637</v>
      </c>
      <c r="D176" s="25" t="s">
        <v>273</v>
      </c>
      <c r="E176" s="25" t="s">
        <v>638</v>
      </c>
      <c r="F176" s="25" t="s">
        <v>639</v>
      </c>
      <c r="G176" s="25" t="s">
        <v>650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6"/>
    </row>
    <row r="177" spans="1:30" ht="15" thickBot="1" x14ac:dyDescent="0.35">
      <c r="A177" s="38"/>
      <c r="B177" s="39" t="s">
        <v>813</v>
      </c>
      <c r="C177" s="39" t="s">
        <v>630</v>
      </c>
      <c r="D177" s="39" t="s">
        <v>397</v>
      </c>
      <c r="E177" s="39" t="s">
        <v>688</v>
      </c>
      <c r="F177" s="39" t="s">
        <v>809</v>
      </c>
      <c r="G177" s="39" t="s">
        <v>650</v>
      </c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1"/>
    </row>
    <row r="178" spans="1:30" x14ac:dyDescent="0.3">
      <c r="A178" s="30" t="s">
        <v>516</v>
      </c>
      <c r="B178" s="31" t="s">
        <v>814</v>
      </c>
      <c r="C178" s="32" t="s">
        <v>620</v>
      </c>
      <c r="D178" s="32" t="s">
        <v>517</v>
      </c>
      <c r="E178" s="32" t="s">
        <v>621</v>
      </c>
      <c r="F178" s="32"/>
      <c r="G178" s="32" t="s">
        <v>622</v>
      </c>
      <c r="H178" s="31" t="s">
        <v>623</v>
      </c>
      <c r="I178" s="31">
        <v>83</v>
      </c>
      <c r="J178" s="31" t="s">
        <v>626</v>
      </c>
      <c r="K178" s="31" t="s">
        <v>105</v>
      </c>
      <c r="L178" s="31" t="s">
        <v>624</v>
      </c>
      <c r="M178" s="31" t="s">
        <v>624</v>
      </c>
      <c r="N178" s="31" t="s">
        <v>624</v>
      </c>
      <c r="O178" s="31" t="s">
        <v>624</v>
      </c>
      <c r="P178" s="31" t="s">
        <v>624</v>
      </c>
      <c r="Q178" s="31" t="s">
        <v>624</v>
      </c>
      <c r="R178" s="31" t="s">
        <v>625</v>
      </c>
      <c r="S178" s="31" t="s">
        <v>625</v>
      </c>
      <c r="T178" s="31" t="s">
        <v>625</v>
      </c>
      <c r="U178" s="31" t="s">
        <v>625</v>
      </c>
      <c r="V178" s="31" t="s">
        <v>626</v>
      </c>
      <c r="W178" s="31" t="s">
        <v>625</v>
      </c>
      <c r="X178" s="31" t="s">
        <v>625</v>
      </c>
      <c r="Y178" s="31" t="s">
        <v>626</v>
      </c>
      <c r="Z178" s="31" t="s">
        <v>626</v>
      </c>
      <c r="AA178" s="31" t="s">
        <v>625</v>
      </c>
      <c r="AB178" s="31" t="s">
        <v>627</v>
      </c>
      <c r="AC178" s="31" t="s">
        <v>628</v>
      </c>
      <c r="AD178" s="33" t="s">
        <v>629</v>
      </c>
    </row>
    <row r="179" spans="1:30" x14ac:dyDescent="0.3">
      <c r="A179" s="34"/>
      <c r="B179" s="35"/>
      <c r="C179" s="25" t="s">
        <v>630</v>
      </c>
      <c r="D179" s="25" t="s">
        <v>292</v>
      </c>
      <c r="E179" s="25" t="s">
        <v>631</v>
      </c>
      <c r="F179" s="25" t="s">
        <v>632</v>
      </c>
      <c r="G179" s="25" t="s">
        <v>633</v>
      </c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6"/>
    </row>
    <row r="180" spans="1:30" x14ac:dyDescent="0.3">
      <c r="A180" s="34"/>
      <c r="B180" s="35"/>
      <c r="C180" s="25" t="s">
        <v>634</v>
      </c>
      <c r="D180" s="25" t="s">
        <v>222</v>
      </c>
      <c r="E180" s="25" t="s">
        <v>643</v>
      </c>
      <c r="F180" s="25" t="s">
        <v>809</v>
      </c>
      <c r="G180" s="25" t="s">
        <v>633</v>
      </c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6"/>
    </row>
    <row r="181" spans="1:30" x14ac:dyDescent="0.3">
      <c r="A181" s="34"/>
      <c r="B181" s="35"/>
      <c r="C181" s="25" t="s">
        <v>637</v>
      </c>
      <c r="D181" s="25" t="s">
        <v>518</v>
      </c>
      <c r="E181" s="25" t="s">
        <v>752</v>
      </c>
      <c r="F181" s="25" t="s">
        <v>809</v>
      </c>
      <c r="G181" s="25" t="s">
        <v>633</v>
      </c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6"/>
    </row>
    <row r="182" spans="1:30" x14ac:dyDescent="0.3">
      <c r="A182" s="34"/>
      <c r="B182" s="37"/>
      <c r="C182" s="25" t="s">
        <v>640</v>
      </c>
      <c r="D182" s="25" t="s">
        <v>519</v>
      </c>
      <c r="E182" s="25" t="s">
        <v>739</v>
      </c>
      <c r="F182" s="25" t="s">
        <v>815</v>
      </c>
      <c r="G182" s="25" t="s">
        <v>633</v>
      </c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6"/>
    </row>
    <row r="183" spans="1:30" x14ac:dyDescent="0.3">
      <c r="A183" s="34"/>
      <c r="B183" s="25" t="s">
        <v>626</v>
      </c>
      <c r="C183" s="25" t="s">
        <v>626</v>
      </c>
      <c r="D183" s="25" t="s">
        <v>816</v>
      </c>
      <c r="E183" s="25" t="s">
        <v>677</v>
      </c>
      <c r="F183" s="25" t="s">
        <v>756</v>
      </c>
      <c r="G183" s="25" t="s">
        <v>650</v>
      </c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6"/>
    </row>
    <row r="184" spans="1:30" x14ac:dyDescent="0.3">
      <c r="A184" s="34"/>
      <c r="B184" s="25" t="s">
        <v>626</v>
      </c>
      <c r="C184" s="25" t="s">
        <v>626</v>
      </c>
      <c r="D184" s="25" t="s">
        <v>817</v>
      </c>
      <c r="E184" s="25" t="s">
        <v>666</v>
      </c>
      <c r="F184" s="25" t="s">
        <v>667</v>
      </c>
      <c r="G184" s="25" t="s">
        <v>650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6"/>
    </row>
    <row r="185" spans="1:30" x14ac:dyDescent="0.3">
      <c r="A185" s="34"/>
      <c r="B185" s="25" t="s">
        <v>818</v>
      </c>
      <c r="C185" s="25" t="s">
        <v>652</v>
      </c>
      <c r="D185" s="25" t="s">
        <v>288</v>
      </c>
      <c r="E185" s="25" t="s">
        <v>621</v>
      </c>
      <c r="F185" s="25" t="s">
        <v>653</v>
      </c>
      <c r="G185" s="25" t="s">
        <v>650</v>
      </c>
      <c r="H185" s="42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6"/>
    </row>
    <row r="186" spans="1:30" x14ac:dyDescent="0.3">
      <c r="A186" s="34"/>
      <c r="B186" s="25" t="s">
        <v>819</v>
      </c>
      <c r="C186" s="25" t="s">
        <v>630</v>
      </c>
      <c r="D186" s="25" t="s">
        <v>292</v>
      </c>
      <c r="E186" s="25" t="s">
        <v>631</v>
      </c>
      <c r="F186" s="25" t="s">
        <v>632</v>
      </c>
      <c r="G186" s="25" t="s">
        <v>650</v>
      </c>
      <c r="H186" s="42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6"/>
    </row>
    <row r="187" spans="1:30" x14ac:dyDescent="0.3">
      <c r="A187" s="34"/>
      <c r="B187" s="25" t="s">
        <v>820</v>
      </c>
      <c r="C187" s="25" t="s">
        <v>652</v>
      </c>
      <c r="D187" s="25" t="s">
        <v>222</v>
      </c>
      <c r="E187" s="25" t="s">
        <v>643</v>
      </c>
      <c r="F187" s="25" t="s">
        <v>809</v>
      </c>
      <c r="G187" s="25" t="s">
        <v>650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6"/>
    </row>
    <row r="188" spans="1:30" ht="15" thickBot="1" x14ac:dyDescent="0.35">
      <c r="A188" s="38"/>
      <c r="B188" s="39" t="s">
        <v>821</v>
      </c>
      <c r="C188" s="39" t="s">
        <v>652</v>
      </c>
      <c r="D188" s="39" t="s">
        <v>518</v>
      </c>
      <c r="E188" s="39" t="s">
        <v>752</v>
      </c>
      <c r="F188" s="39" t="s">
        <v>809</v>
      </c>
      <c r="G188" s="39" t="s">
        <v>650</v>
      </c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1"/>
    </row>
    <row r="189" spans="1:30" x14ac:dyDescent="0.3">
      <c r="A189" s="30" t="s">
        <v>508</v>
      </c>
      <c r="B189" s="31" t="s">
        <v>822</v>
      </c>
      <c r="C189" s="32" t="s">
        <v>620</v>
      </c>
      <c r="D189" s="32" t="s">
        <v>509</v>
      </c>
      <c r="E189" s="32" t="s">
        <v>621</v>
      </c>
      <c r="F189" s="32"/>
      <c r="G189" s="32" t="s">
        <v>622</v>
      </c>
      <c r="H189" s="31" t="s">
        <v>623</v>
      </c>
      <c r="I189" s="31">
        <v>82</v>
      </c>
      <c r="J189" s="31" t="s">
        <v>626</v>
      </c>
      <c r="K189" s="31" t="s">
        <v>105</v>
      </c>
      <c r="L189" s="31" t="s">
        <v>624</v>
      </c>
      <c r="M189" s="31" t="s">
        <v>624</v>
      </c>
      <c r="N189" s="31" t="s">
        <v>624</v>
      </c>
      <c r="O189" s="31" t="s">
        <v>624</v>
      </c>
      <c r="P189" s="31" t="s">
        <v>624</v>
      </c>
      <c r="Q189" s="31" t="s">
        <v>624</v>
      </c>
      <c r="R189" s="31" t="s">
        <v>625</v>
      </c>
      <c r="S189" s="31" t="s">
        <v>625</v>
      </c>
      <c r="T189" s="31" t="s">
        <v>625</v>
      </c>
      <c r="U189" s="31" t="s">
        <v>625</v>
      </c>
      <c r="V189" s="31" t="s">
        <v>626</v>
      </c>
      <c r="W189" s="31" t="s">
        <v>625</v>
      </c>
      <c r="X189" s="31" t="s">
        <v>625</v>
      </c>
      <c r="Y189" s="31" t="s">
        <v>626</v>
      </c>
      <c r="Z189" s="31" t="s">
        <v>626</v>
      </c>
      <c r="AA189" s="31" t="s">
        <v>625</v>
      </c>
      <c r="AB189" s="31" t="s">
        <v>627</v>
      </c>
      <c r="AC189" s="31" t="s">
        <v>628</v>
      </c>
      <c r="AD189" s="33" t="s">
        <v>629</v>
      </c>
    </row>
    <row r="190" spans="1:30" x14ac:dyDescent="0.3">
      <c r="A190" s="34"/>
      <c r="B190" s="35"/>
      <c r="C190" s="25" t="s">
        <v>630</v>
      </c>
      <c r="D190" s="25" t="s">
        <v>284</v>
      </c>
      <c r="E190" s="25" t="s">
        <v>631</v>
      </c>
      <c r="F190" s="25" t="s">
        <v>632</v>
      </c>
      <c r="G190" s="25" t="s">
        <v>633</v>
      </c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6"/>
    </row>
    <row r="191" spans="1:30" x14ac:dyDescent="0.3">
      <c r="A191" s="34"/>
      <c r="B191" s="35"/>
      <c r="C191" s="25" t="s">
        <v>634</v>
      </c>
      <c r="D191" s="25" t="s">
        <v>510</v>
      </c>
      <c r="E191" s="25" t="s">
        <v>688</v>
      </c>
      <c r="F191" s="25" t="s">
        <v>823</v>
      </c>
      <c r="G191" s="25" t="s">
        <v>633</v>
      </c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6"/>
    </row>
    <row r="192" spans="1:30" x14ac:dyDescent="0.3">
      <c r="A192" s="34"/>
      <c r="B192" s="37"/>
      <c r="C192" s="25" t="s">
        <v>637</v>
      </c>
      <c r="D192" s="25" t="s">
        <v>511</v>
      </c>
      <c r="E192" s="25" t="s">
        <v>643</v>
      </c>
      <c r="F192" s="25" t="s">
        <v>800</v>
      </c>
      <c r="G192" s="25" t="s">
        <v>633</v>
      </c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6"/>
    </row>
    <row r="193" spans="1:30" x14ac:dyDescent="0.3">
      <c r="A193" s="34"/>
      <c r="B193" s="25" t="s">
        <v>626</v>
      </c>
      <c r="C193" s="25" t="s">
        <v>626</v>
      </c>
      <c r="D193" s="25" t="s">
        <v>824</v>
      </c>
      <c r="E193" s="25" t="s">
        <v>677</v>
      </c>
      <c r="F193" s="25" t="s">
        <v>649</v>
      </c>
      <c r="G193" s="25" t="s">
        <v>650</v>
      </c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6"/>
    </row>
    <row r="194" spans="1:30" x14ac:dyDescent="0.3">
      <c r="A194" s="34"/>
      <c r="B194" s="25" t="s">
        <v>626</v>
      </c>
      <c r="C194" s="25" t="s">
        <v>626</v>
      </c>
      <c r="D194" s="25" t="s">
        <v>825</v>
      </c>
      <c r="E194" s="25" t="s">
        <v>666</v>
      </c>
      <c r="F194" s="25" t="s">
        <v>667</v>
      </c>
      <c r="G194" s="25" t="s">
        <v>650</v>
      </c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6"/>
    </row>
    <row r="195" spans="1:30" x14ac:dyDescent="0.3">
      <c r="A195" s="34"/>
      <c r="B195" s="25" t="s">
        <v>714</v>
      </c>
      <c r="C195" s="25" t="s">
        <v>630</v>
      </c>
      <c r="D195" s="25" t="s">
        <v>513</v>
      </c>
      <c r="E195" s="25" t="s">
        <v>621</v>
      </c>
      <c r="F195" s="25" t="s">
        <v>653</v>
      </c>
      <c r="G195" s="25" t="s">
        <v>650</v>
      </c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6"/>
    </row>
    <row r="196" spans="1:30" x14ac:dyDescent="0.3">
      <c r="A196" s="34"/>
      <c r="B196" s="25" t="s">
        <v>826</v>
      </c>
      <c r="C196" s="25" t="s">
        <v>630</v>
      </c>
      <c r="D196" s="25" t="s">
        <v>284</v>
      </c>
      <c r="E196" s="25" t="s">
        <v>631</v>
      </c>
      <c r="F196" s="25" t="s">
        <v>632</v>
      </c>
      <c r="G196" s="25" t="s">
        <v>650</v>
      </c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6"/>
    </row>
    <row r="197" spans="1:30" x14ac:dyDescent="0.3">
      <c r="A197" s="34"/>
      <c r="B197" s="25" t="s">
        <v>827</v>
      </c>
      <c r="C197" s="25" t="s">
        <v>652</v>
      </c>
      <c r="D197" s="25" t="s">
        <v>511</v>
      </c>
      <c r="E197" s="25" t="s">
        <v>643</v>
      </c>
      <c r="F197" s="25" t="s">
        <v>800</v>
      </c>
      <c r="G197" s="25" t="s">
        <v>650</v>
      </c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6"/>
    </row>
    <row r="198" spans="1:30" x14ac:dyDescent="0.3">
      <c r="A198" s="34"/>
      <c r="B198" s="25" t="s">
        <v>828</v>
      </c>
      <c r="C198" s="25" t="s">
        <v>630</v>
      </c>
      <c r="D198" s="25" t="s">
        <v>510</v>
      </c>
      <c r="E198" s="25" t="s">
        <v>688</v>
      </c>
      <c r="F198" s="25" t="s">
        <v>823</v>
      </c>
      <c r="G198" s="25" t="s">
        <v>650</v>
      </c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6"/>
    </row>
    <row r="199" spans="1:30" ht="15" thickBot="1" x14ac:dyDescent="0.35">
      <c r="A199" s="38"/>
      <c r="B199" s="39" t="s">
        <v>829</v>
      </c>
      <c r="C199" s="39" t="s">
        <v>652</v>
      </c>
      <c r="D199" s="39" t="s">
        <v>514</v>
      </c>
      <c r="E199" s="39" t="s">
        <v>739</v>
      </c>
      <c r="F199" s="39" t="s">
        <v>830</v>
      </c>
      <c r="G199" s="39" t="s">
        <v>650</v>
      </c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1"/>
    </row>
    <row r="200" spans="1:30" s="89" customFormat="1" x14ac:dyDescent="0.3">
      <c r="A200" s="13" t="s">
        <v>589</v>
      </c>
      <c r="B200" s="14" t="s">
        <v>831</v>
      </c>
      <c r="C200" s="15" t="s">
        <v>620</v>
      </c>
      <c r="D200" s="15" t="s">
        <v>590</v>
      </c>
      <c r="E200" s="15" t="s">
        <v>621</v>
      </c>
      <c r="F200" s="15"/>
      <c r="G200" s="15" t="s">
        <v>622</v>
      </c>
      <c r="H200" s="14" t="s">
        <v>623</v>
      </c>
      <c r="I200" s="14" t="s">
        <v>626</v>
      </c>
      <c r="J200" s="14" t="s">
        <v>626</v>
      </c>
      <c r="K200" s="14" t="s">
        <v>105</v>
      </c>
      <c r="L200" s="14" t="s">
        <v>624</v>
      </c>
      <c r="M200" s="14" t="s">
        <v>624</v>
      </c>
      <c r="N200" s="14" t="s">
        <v>624</v>
      </c>
      <c r="O200" s="14" t="s">
        <v>624</v>
      </c>
      <c r="P200" s="14" t="s">
        <v>624</v>
      </c>
      <c r="Q200" s="14" t="s">
        <v>624</v>
      </c>
      <c r="R200" s="14" t="s">
        <v>625</v>
      </c>
      <c r="S200" s="14" t="s">
        <v>625</v>
      </c>
      <c r="T200" s="14" t="s">
        <v>625</v>
      </c>
      <c r="U200" s="14" t="s">
        <v>625</v>
      </c>
      <c r="V200" s="14" t="s">
        <v>626</v>
      </c>
      <c r="W200" s="14" t="s">
        <v>625</v>
      </c>
      <c r="X200" s="14" t="s">
        <v>625</v>
      </c>
      <c r="Y200" s="14" t="s">
        <v>626</v>
      </c>
      <c r="Z200" s="14" t="s">
        <v>626</v>
      </c>
      <c r="AA200" s="14" t="s">
        <v>625</v>
      </c>
      <c r="AB200" s="14" t="s">
        <v>832</v>
      </c>
      <c r="AC200" s="14" t="s">
        <v>628</v>
      </c>
      <c r="AD200" s="16" t="s">
        <v>833</v>
      </c>
    </row>
    <row r="201" spans="1:30" s="89" customFormat="1" x14ac:dyDescent="0.3">
      <c r="A201" s="17"/>
      <c r="B201" s="18"/>
      <c r="C201" s="11" t="s">
        <v>630</v>
      </c>
      <c r="D201" s="11" t="s">
        <v>181</v>
      </c>
      <c r="E201" s="11" t="s">
        <v>631</v>
      </c>
      <c r="F201" s="11" t="s">
        <v>632</v>
      </c>
      <c r="G201" s="11" t="s">
        <v>622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9"/>
    </row>
    <row r="202" spans="1:30" s="89" customFormat="1" x14ac:dyDescent="0.3">
      <c r="A202" s="17"/>
      <c r="B202" s="18"/>
      <c r="C202" s="11" t="s">
        <v>642</v>
      </c>
      <c r="D202" s="11" t="s">
        <v>65</v>
      </c>
      <c r="E202" s="11" t="s">
        <v>725</v>
      </c>
      <c r="F202" s="11" t="s">
        <v>753</v>
      </c>
      <c r="G202" s="11" t="s">
        <v>622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9"/>
    </row>
    <row r="203" spans="1:30" s="89" customFormat="1" x14ac:dyDescent="0.3">
      <c r="A203" s="17"/>
      <c r="B203" s="20"/>
      <c r="C203" s="11" t="s">
        <v>711</v>
      </c>
      <c r="D203" s="11" t="s">
        <v>489</v>
      </c>
      <c r="E203" s="11" t="s">
        <v>646</v>
      </c>
      <c r="F203" s="11" t="s">
        <v>647</v>
      </c>
      <c r="G203" s="11" t="s">
        <v>633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9"/>
    </row>
    <row r="204" spans="1:30" s="89" customFormat="1" x14ac:dyDescent="0.3">
      <c r="A204" s="17"/>
      <c r="B204" s="11" t="s">
        <v>834</v>
      </c>
      <c r="C204" s="11" t="s">
        <v>630</v>
      </c>
      <c r="D204" s="11" t="s">
        <v>181</v>
      </c>
      <c r="E204" s="11" t="s">
        <v>631</v>
      </c>
      <c r="F204" s="11" t="s">
        <v>632</v>
      </c>
      <c r="G204" s="11" t="s">
        <v>650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9"/>
    </row>
    <row r="205" spans="1:30" s="89" customFormat="1" ht="15" thickBot="1" x14ac:dyDescent="0.35">
      <c r="A205" s="21"/>
      <c r="B205" s="22" t="s">
        <v>835</v>
      </c>
      <c r="C205" s="22" t="s">
        <v>630</v>
      </c>
      <c r="D205" s="22" t="s">
        <v>65</v>
      </c>
      <c r="E205" s="22" t="s">
        <v>725</v>
      </c>
      <c r="F205" s="22" t="s">
        <v>753</v>
      </c>
      <c r="G205" s="22" t="s">
        <v>650</v>
      </c>
      <c r="H205" s="23"/>
      <c r="I205" s="23"/>
      <c r="J205" s="23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9"/>
    </row>
    <row r="206" spans="1:30" x14ac:dyDescent="0.3">
      <c r="A206" s="30" t="s">
        <v>358</v>
      </c>
      <c r="B206" s="31" t="s">
        <v>836</v>
      </c>
      <c r="C206" s="32" t="s">
        <v>620</v>
      </c>
      <c r="D206" s="32" t="s">
        <v>359</v>
      </c>
      <c r="E206" s="32" t="s">
        <v>621</v>
      </c>
      <c r="F206" s="32"/>
      <c r="G206" s="32" t="s">
        <v>622</v>
      </c>
      <c r="H206" s="31" t="s">
        <v>702</v>
      </c>
      <c r="I206" s="31">
        <v>54</v>
      </c>
      <c r="J206" s="31">
        <v>26</v>
      </c>
      <c r="K206" s="31" t="s">
        <v>105</v>
      </c>
      <c r="L206" s="31" t="s">
        <v>624</v>
      </c>
      <c r="M206" s="31" t="s">
        <v>624</v>
      </c>
      <c r="N206" s="31" t="s">
        <v>624</v>
      </c>
      <c r="O206" s="31" t="s">
        <v>624</v>
      </c>
      <c r="P206" s="31" t="s">
        <v>624</v>
      </c>
      <c r="Q206" s="31" t="s">
        <v>624</v>
      </c>
      <c r="R206" s="31" t="s">
        <v>625</v>
      </c>
      <c r="S206" s="31" t="s">
        <v>625</v>
      </c>
      <c r="T206" s="31" t="s">
        <v>625</v>
      </c>
      <c r="U206" s="31" t="s">
        <v>625</v>
      </c>
      <c r="V206" s="31" t="s">
        <v>626</v>
      </c>
      <c r="W206" s="31" t="s">
        <v>625</v>
      </c>
      <c r="X206" s="31" t="s">
        <v>625</v>
      </c>
      <c r="Y206" s="31" t="s">
        <v>625</v>
      </c>
      <c r="Z206" s="31" t="s">
        <v>626</v>
      </c>
      <c r="AA206" s="31" t="s">
        <v>625</v>
      </c>
      <c r="AB206" s="31" t="s">
        <v>627</v>
      </c>
      <c r="AC206" s="31" t="s">
        <v>628</v>
      </c>
      <c r="AD206" s="33" t="s">
        <v>706</v>
      </c>
    </row>
    <row r="207" spans="1:30" x14ac:dyDescent="0.3">
      <c r="A207" s="34"/>
      <c r="B207" s="35"/>
      <c r="C207" s="25" t="s">
        <v>652</v>
      </c>
      <c r="D207" s="25" t="s">
        <v>360</v>
      </c>
      <c r="E207" s="25" t="s">
        <v>837</v>
      </c>
      <c r="F207" s="25" t="s">
        <v>838</v>
      </c>
      <c r="G207" s="25" t="s">
        <v>633</v>
      </c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6"/>
    </row>
    <row r="208" spans="1:30" x14ac:dyDescent="0.3">
      <c r="A208" s="34"/>
      <c r="B208" s="35"/>
      <c r="C208" s="25" t="s">
        <v>630</v>
      </c>
      <c r="D208" s="25" t="s">
        <v>273</v>
      </c>
      <c r="E208" s="25" t="s">
        <v>638</v>
      </c>
      <c r="F208" s="25" t="s">
        <v>639</v>
      </c>
      <c r="G208" s="25" t="s">
        <v>633</v>
      </c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6"/>
    </row>
    <row r="209" spans="1:30" x14ac:dyDescent="0.3">
      <c r="A209" s="34"/>
      <c r="B209" s="35"/>
      <c r="C209" s="25" t="s">
        <v>634</v>
      </c>
      <c r="D209" s="25" t="s">
        <v>190</v>
      </c>
      <c r="E209" s="25" t="s">
        <v>643</v>
      </c>
      <c r="F209" s="25" t="s">
        <v>763</v>
      </c>
      <c r="G209" s="25" t="s">
        <v>633</v>
      </c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6"/>
    </row>
    <row r="210" spans="1:30" x14ac:dyDescent="0.3">
      <c r="A210" s="34"/>
      <c r="B210" s="35"/>
      <c r="C210" s="25" t="s">
        <v>637</v>
      </c>
      <c r="D210" s="25" t="s">
        <v>53</v>
      </c>
      <c r="E210" s="25" t="s">
        <v>631</v>
      </c>
      <c r="F210" s="25" t="s">
        <v>632</v>
      </c>
      <c r="G210" s="25" t="s">
        <v>633</v>
      </c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6"/>
    </row>
    <row r="211" spans="1:30" x14ac:dyDescent="0.3">
      <c r="A211" s="34"/>
      <c r="B211" s="35"/>
      <c r="C211" s="25" t="s">
        <v>640</v>
      </c>
      <c r="D211" s="25" t="s">
        <v>361</v>
      </c>
      <c r="E211" s="25" t="s">
        <v>839</v>
      </c>
      <c r="F211" s="25" t="s">
        <v>636</v>
      </c>
      <c r="G211" s="25" t="s">
        <v>633</v>
      </c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6"/>
    </row>
    <row r="212" spans="1:30" x14ac:dyDescent="0.3">
      <c r="A212" s="34"/>
      <c r="B212" s="35"/>
      <c r="C212" s="25" t="s">
        <v>642</v>
      </c>
      <c r="D212" s="25" t="s">
        <v>362</v>
      </c>
      <c r="E212" s="25" t="s">
        <v>641</v>
      </c>
      <c r="F212" s="25" t="s">
        <v>632</v>
      </c>
      <c r="G212" s="25" t="s">
        <v>633</v>
      </c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6"/>
    </row>
    <row r="213" spans="1:30" x14ac:dyDescent="0.3">
      <c r="A213" s="34"/>
      <c r="B213" s="37"/>
      <c r="C213" s="25" t="s">
        <v>645</v>
      </c>
      <c r="D213" s="25" t="s">
        <v>363</v>
      </c>
      <c r="E213" s="25" t="s">
        <v>840</v>
      </c>
      <c r="F213" s="25" t="s">
        <v>841</v>
      </c>
      <c r="G213" s="25" t="s">
        <v>633</v>
      </c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6"/>
    </row>
    <row r="214" spans="1:30" x14ac:dyDescent="0.3">
      <c r="A214" s="34"/>
      <c r="B214" s="25" t="s">
        <v>626</v>
      </c>
      <c r="C214" s="25" t="s">
        <v>626</v>
      </c>
      <c r="D214" s="25" t="s">
        <v>563</v>
      </c>
      <c r="E214" s="25" t="s">
        <v>677</v>
      </c>
      <c r="F214" s="25" t="s">
        <v>649</v>
      </c>
      <c r="G214" s="25" t="s">
        <v>650</v>
      </c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6"/>
    </row>
    <row r="215" spans="1:30" x14ac:dyDescent="0.3">
      <c r="A215" s="34"/>
      <c r="B215" s="25" t="s">
        <v>626</v>
      </c>
      <c r="C215" s="25" t="s">
        <v>626</v>
      </c>
      <c r="D215" s="25" t="s">
        <v>279</v>
      </c>
      <c r="E215" s="25" t="s">
        <v>648</v>
      </c>
      <c r="F215" s="25" t="s">
        <v>649</v>
      </c>
      <c r="G215" s="25" t="s">
        <v>650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6"/>
    </row>
    <row r="216" spans="1:30" x14ac:dyDescent="0.3">
      <c r="A216" s="34"/>
      <c r="B216" s="25" t="s">
        <v>626</v>
      </c>
      <c r="C216" s="25" t="s">
        <v>626</v>
      </c>
      <c r="D216" s="25" t="s">
        <v>842</v>
      </c>
      <c r="E216" s="25" t="s">
        <v>666</v>
      </c>
      <c r="F216" s="25" t="s">
        <v>667</v>
      </c>
      <c r="G216" s="25" t="s">
        <v>650</v>
      </c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6"/>
    </row>
    <row r="217" spans="1:30" x14ac:dyDescent="0.3">
      <c r="A217" s="34"/>
      <c r="B217" s="25" t="s">
        <v>729</v>
      </c>
      <c r="C217" s="25" t="s">
        <v>634</v>
      </c>
      <c r="D217" s="25" t="s">
        <v>214</v>
      </c>
      <c r="E217" s="25" t="s">
        <v>730</v>
      </c>
      <c r="F217" s="25" t="s">
        <v>731</v>
      </c>
      <c r="G217" s="25" t="s">
        <v>650</v>
      </c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6"/>
    </row>
    <row r="218" spans="1:30" x14ac:dyDescent="0.3">
      <c r="A218" s="34"/>
      <c r="B218" s="25" t="s">
        <v>843</v>
      </c>
      <c r="C218" s="25" t="s">
        <v>652</v>
      </c>
      <c r="D218" s="25" t="s">
        <v>70</v>
      </c>
      <c r="E218" s="25" t="s">
        <v>621</v>
      </c>
      <c r="F218" s="25" t="s">
        <v>653</v>
      </c>
      <c r="G218" s="25" t="s">
        <v>650</v>
      </c>
      <c r="H218" s="42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6"/>
    </row>
    <row r="219" spans="1:30" x14ac:dyDescent="0.3">
      <c r="A219" s="34"/>
      <c r="B219" s="25" t="s">
        <v>844</v>
      </c>
      <c r="C219" s="25" t="s">
        <v>637</v>
      </c>
      <c r="D219" s="25" t="s">
        <v>53</v>
      </c>
      <c r="E219" s="25" t="s">
        <v>631</v>
      </c>
      <c r="F219" s="25" t="s">
        <v>632</v>
      </c>
      <c r="G219" s="25" t="s">
        <v>650</v>
      </c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6"/>
    </row>
    <row r="220" spans="1:30" x14ac:dyDescent="0.3">
      <c r="A220" s="34"/>
      <c r="B220" s="25" t="s">
        <v>845</v>
      </c>
      <c r="C220" s="25" t="s">
        <v>652</v>
      </c>
      <c r="D220" s="25" t="s">
        <v>362</v>
      </c>
      <c r="E220" s="25" t="s">
        <v>641</v>
      </c>
      <c r="F220" s="25" t="s">
        <v>632</v>
      </c>
      <c r="G220" s="25" t="s">
        <v>650</v>
      </c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6"/>
    </row>
    <row r="221" spans="1:30" x14ac:dyDescent="0.3">
      <c r="A221" s="34"/>
      <c r="B221" s="25" t="s">
        <v>812</v>
      </c>
      <c r="C221" s="25" t="s">
        <v>634</v>
      </c>
      <c r="D221" s="25" t="s">
        <v>273</v>
      </c>
      <c r="E221" s="25" t="s">
        <v>638</v>
      </c>
      <c r="F221" s="25" t="s">
        <v>639</v>
      </c>
      <c r="G221" s="25" t="s">
        <v>650</v>
      </c>
      <c r="H221" s="42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6"/>
    </row>
    <row r="222" spans="1:30" x14ac:dyDescent="0.3">
      <c r="A222" s="34"/>
      <c r="B222" s="25" t="s">
        <v>685</v>
      </c>
      <c r="C222" s="25" t="s">
        <v>630</v>
      </c>
      <c r="D222" s="25" t="s">
        <v>217</v>
      </c>
      <c r="E222" s="25" t="s">
        <v>659</v>
      </c>
      <c r="F222" s="25" t="s">
        <v>686</v>
      </c>
      <c r="G222" s="25" t="s">
        <v>650</v>
      </c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6"/>
    </row>
    <row r="223" spans="1:30" x14ac:dyDescent="0.3">
      <c r="A223" s="34"/>
      <c r="B223" s="25" t="s">
        <v>846</v>
      </c>
      <c r="C223" s="25" t="s">
        <v>652</v>
      </c>
      <c r="D223" s="25" t="s">
        <v>360</v>
      </c>
      <c r="E223" s="25" t="s">
        <v>837</v>
      </c>
      <c r="F223" s="25" t="s">
        <v>838</v>
      </c>
      <c r="G223" s="25" t="s">
        <v>650</v>
      </c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6"/>
    </row>
    <row r="224" spans="1:30" ht="15" thickBot="1" x14ac:dyDescent="0.35">
      <c r="A224" s="38"/>
      <c r="B224" s="39" t="s">
        <v>847</v>
      </c>
      <c r="C224" s="39" t="s">
        <v>652</v>
      </c>
      <c r="D224" s="39" t="s">
        <v>190</v>
      </c>
      <c r="E224" s="39" t="s">
        <v>643</v>
      </c>
      <c r="F224" s="39" t="s">
        <v>763</v>
      </c>
      <c r="G224" s="39" t="s">
        <v>650</v>
      </c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1"/>
    </row>
    <row r="225" spans="1:30" x14ac:dyDescent="0.3">
      <c r="A225" s="30" t="s">
        <v>351</v>
      </c>
      <c r="B225" s="31" t="s">
        <v>848</v>
      </c>
      <c r="C225" s="32" t="s">
        <v>620</v>
      </c>
      <c r="D225" s="32" t="s">
        <v>352</v>
      </c>
      <c r="E225" s="32" t="s">
        <v>621</v>
      </c>
      <c r="F225" s="32"/>
      <c r="G225" s="32" t="s">
        <v>622</v>
      </c>
      <c r="H225" s="31" t="s">
        <v>702</v>
      </c>
      <c r="I225" s="31">
        <v>53</v>
      </c>
      <c r="J225" s="31">
        <v>25</v>
      </c>
      <c r="K225" s="31" t="s">
        <v>105</v>
      </c>
      <c r="L225" s="31" t="s">
        <v>624</v>
      </c>
      <c r="M225" s="31" t="s">
        <v>624</v>
      </c>
      <c r="N225" s="31" t="s">
        <v>624</v>
      </c>
      <c r="O225" s="31" t="s">
        <v>624</v>
      </c>
      <c r="P225" s="31" t="s">
        <v>624</v>
      </c>
      <c r="Q225" s="31" t="s">
        <v>624</v>
      </c>
      <c r="R225" s="31" t="s">
        <v>625</v>
      </c>
      <c r="S225" s="31" t="s">
        <v>625</v>
      </c>
      <c r="T225" s="31" t="s">
        <v>625</v>
      </c>
      <c r="U225" s="31" t="s">
        <v>625</v>
      </c>
      <c r="V225" s="31" t="s">
        <v>626</v>
      </c>
      <c r="W225" s="31" t="s">
        <v>625</v>
      </c>
      <c r="X225" s="31" t="s">
        <v>625</v>
      </c>
      <c r="Y225" s="31" t="s">
        <v>625</v>
      </c>
      <c r="Z225" s="31" t="s">
        <v>626</v>
      </c>
      <c r="AA225" s="31" t="s">
        <v>625</v>
      </c>
      <c r="AB225" s="31" t="s">
        <v>627</v>
      </c>
      <c r="AC225" s="31" t="s">
        <v>628</v>
      </c>
      <c r="AD225" s="33" t="s">
        <v>706</v>
      </c>
    </row>
    <row r="226" spans="1:30" x14ac:dyDescent="0.3">
      <c r="A226" s="34"/>
      <c r="B226" s="35"/>
      <c r="C226" s="25" t="s">
        <v>652</v>
      </c>
      <c r="D226" s="25" t="s">
        <v>353</v>
      </c>
      <c r="E226" s="25" t="s">
        <v>837</v>
      </c>
      <c r="F226" s="25" t="s">
        <v>849</v>
      </c>
      <c r="G226" s="25" t="s">
        <v>633</v>
      </c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6"/>
    </row>
    <row r="227" spans="1:30" x14ac:dyDescent="0.3">
      <c r="A227" s="34"/>
      <c r="B227" s="35"/>
      <c r="C227" s="25" t="s">
        <v>630</v>
      </c>
      <c r="D227" s="25" t="s">
        <v>205</v>
      </c>
      <c r="E227" s="25" t="s">
        <v>659</v>
      </c>
      <c r="F227" s="25" t="s">
        <v>693</v>
      </c>
      <c r="G227" s="25" t="s">
        <v>633</v>
      </c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6"/>
    </row>
    <row r="228" spans="1:30" x14ac:dyDescent="0.3">
      <c r="A228" s="34"/>
      <c r="B228" s="35"/>
      <c r="C228" s="25" t="s">
        <v>634</v>
      </c>
      <c r="D228" s="25" t="s">
        <v>198</v>
      </c>
      <c r="E228" s="25" t="s">
        <v>643</v>
      </c>
      <c r="F228" s="25" t="s">
        <v>753</v>
      </c>
      <c r="G228" s="25" t="s">
        <v>633</v>
      </c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6"/>
    </row>
    <row r="229" spans="1:30" x14ac:dyDescent="0.3">
      <c r="A229" s="34"/>
      <c r="B229" s="35"/>
      <c r="C229" s="25" t="s">
        <v>637</v>
      </c>
      <c r="D229" s="25" t="s">
        <v>158</v>
      </c>
      <c r="E229" s="25" t="s">
        <v>631</v>
      </c>
      <c r="F229" s="25" t="s">
        <v>632</v>
      </c>
      <c r="G229" s="25" t="s">
        <v>633</v>
      </c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6"/>
    </row>
    <row r="230" spans="1:30" x14ac:dyDescent="0.3">
      <c r="A230" s="34"/>
      <c r="B230" s="35"/>
      <c r="C230" s="25" t="s">
        <v>640</v>
      </c>
      <c r="D230" s="25" t="s">
        <v>204</v>
      </c>
      <c r="E230" s="25" t="s">
        <v>730</v>
      </c>
      <c r="F230" s="25" t="s">
        <v>743</v>
      </c>
      <c r="G230" s="25" t="s">
        <v>633</v>
      </c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6"/>
    </row>
    <row r="231" spans="1:30" x14ac:dyDescent="0.3">
      <c r="A231" s="34"/>
      <c r="B231" s="35"/>
      <c r="C231" s="25" t="s">
        <v>642</v>
      </c>
      <c r="D231" s="25" t="s">
        <v>97</v>
      </c>
      <c r="E231" s="25" t="s">
        <v>641</v>
      </c>
      <c r="F231" s="25" t="s">
        <v>632</v>
      </c>
      <c r="G231" s="25" t="s">
        <v>633</v>
      </c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6"/>
    </row>
    <row r="232" spans="1:30" x14ac:dyDescent="0.3">
      <c r="A232" s="34"/>
      <c r="B232" s="37"/>
      <c r="C232" s="25" t="s">
        <v>645</v>
      </c>
      <c r="D232" s="25" t="s">
        <v>354</v>
      </c>
      <c r="E232" s="25" t="s">
        <v>839</v>
      </c>
      <c r="F232" s="25" t="s">
        <v>636</v>
      </c>
      <c r="G232" s="25" t="s">
        <v>633</v>
      </c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6"/>
    </row>
    <row r="233" spans="1:30" x14ac:dyDescent="0.3">
      <c r="A233" s="34"/>
      <c r="B233" s="25" t="s">
        <v>626</v>
      </c>
      <c r="C233" s="25" t="s">
        <v>626</v>
      </c>
      <c r="D233" s="25" t="s">
        <v>579</v>
      </c>
      <c r="E233" s="25" t="s">
        <v>677</v>
      </c>
      <c r="F233" s="25" t="s">
        <v>649</v>
      </c>
      <c r="G233" s="25" t="s">
        <v>650</v>
      </c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6"/>
    </row>
    <row r="234" spans="1:30" x14ac:dyDescent="0.3">
      <c r="A234" s="34"/>
      <c r="B234" s="25" t="s">
        <v>626</v>
      </c>
      <c r="C234" s="25" t="s">
        <v>626</v>
      </c>
      <c r="D234" s="25" t="s">
        <v>850</v>
      </c>
      <c r="E234" s="25" t="s">
        <v>648</v>
      </c>
      <c r="F234" s="25" t="s">
        <v>649</v>
      </c>
      <c r="G234" s="25" t="s">
        <v>650</v>
      </c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6"/>
    </row>
    <row r="235" spans="1:30" x14ac:dyDescent="0.3">
      <c r="A235" s="34"/>
      <c r="B235" s="25" t="s">
        <v>851</v>
      </c>
      <c r="C235" s="25" t="s">
        <v>652</v>
      </c>
      <c r="D235" s="25" t="s">
        <v>59</v>
      </c>
      <c r="E235" s="25" t="s">
        <v>621</v>
      </c>
      <c r="F235" s="25" t="s">
        <v>653</v>
      </c>
      <c r="G235" s="25" t="s">
        <v>650</v>
      </c>
      <c r="H235" s="42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6"/>
    </row>
    <row r="236" spans="1:30" x14ac:dyDescent="0.3">
      <c r="A236" s="34"/>
      <c r="B236" s="25" t="s">
        <v>852</v>
      </c>
      <c r="C236" s="25" t="s">
        <v>634</v>
      </c>
      <c r="D236" s="25" t="s">
        <v>158</v>
      </c>
      <c r="E236" s="25" t="s">
        <v>631</v>
      </c>
      <c r="F236" s="25" t="s">
        <v>632</v>
      </c>
      <c r="G236" s="25" t="s">
        <v>650</v>
      </c>
      <c r="H236" s="42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6"/>
    </row>
    <row r="237" spans="1:30" x14ac:dyDescent="0.3">
      <c r="A237" s="34"/>
      <c r="B237" s="25" t="s">
        <v>853</v>
      </c>
      <c r="C237" s="25" t="s">
        <v>652</v>
      </c>
      <c r="D237" s="25" t="s">
        <v>97</v>
      </c>
      <c r="E237" s="25" t="s">
        <v>641</v>
      </c>
      <c r="F237" s="25" t="s">
        <v>632</v>
      </c>
      <c r="G237" s="25" t="s">
        <v>650</v>
      </c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6"/>
    </row>
    <row r="238" spans="1:30" x14ac:dyDescent="0.3">
      <c r="A238" s="34"/>
      <c r="B238" s="25" t="s">
        <v>854</v>
      </c>
      <c r="C238" s="25" t="s">
        <v>652</v>
      </c>
      <c r="D238" s="25" t="s">
        <v>353</v>
      </c>
      <c r="E238" s="25" t="s">
        <v>837</v>
      </c>
      <c r="F238" s="25" t="s">
        <v>849</v>
      </c>
      <c r="G238" s="25" t="s">
        <v>650</v>
      </c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6"/>
    </row>
    <row r="239" spans="1:30" x14ac:dyDescent="0.3">
      <c r="A239" s="34"/>
      <c r="B239" s="25" t="s">
        <v>855</v>
      </c>
      <c r="C239" s="25" t="s">
        <v>634</v>
      </c>
      <c r="D239" s="25" t="s">
        <v>198</v>
      </c>
      <c r="E239" s="25" t="s">
        <v>643</v>
      </c>
      <c r="F239" s="25" t="s">
        <v>753</v>
      </c>
      <c r="G239" s="25" t="s">
        <v>650</v>
      </c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6"/>
    </row>
    <row r="240" spans="1:30" x14ac:dyDescent="0.3">
      <c r="A240" s="34"/>
      <c r="B240" s="25" t="s">
        <v>856</v>
      </c>
      <c r="C240" s="25" t="s">
        <v>652</v>
      </c>
      <c r="D240" s="25" t="s">
        <v>356</v>
      </c>
      <c r="E240" s="25" t="s">
        <v>840</v>
      </c>
      <c r="F240" s="25" t="s">
        <v>857</v>
      </c>
      <c r="G240" s="25" t="s">
        <v>650</v>
      </c>
      <c r="H240" s="42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6"/>
    </row>
    <row r="241" spans="1:30" ht="15" thickBot="1" x14ac:dyDescent="0.35">
      <c r="A241" s="38"/>
      <c r="B241" s="39" t="s">
        <v>700</v>
      </c>
      <c r="C241" s="39" t="s">
        <v>630</v>
      </c>
      <c r="D241" s="39" t="s">
        <v>205</v>
      </c>
      <c r="E241" s="39" t="s">
        <v>659</v>
      </c>
      <c r="F241" s="39" t="s">
        <v>693</v>
      </c>
      <c r="G241" s="39" t="s">
        <v>650</v>
      </c>
      <c r="H241" s="39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1"/>
    </row>
    <row r="242" spans="1:30" x14ac:dyDescent="0.3">
      <c r="A242" s="30" t="s">
        <v>309</v>
      </c>
      <c r="B242" s="31" t="s">
        <v>858</v>
      </c>
      <c r="C242" s="32" t="s">
        <v>620</v>
      </c>
      <c r="D242" s="32" t="s">
        <v>310</v>
      </c>
      <c r="E242" s="32" t="s">
        <v>621</v>
      </c>
      <c r="F242" s="32"/>
      <c r="G242" s="32" t="s">
        <v>622</v>
      </c>
      <c r="H242" s="31" t="s">
        <v>623</v>
      </c>
      <c r="I242" s="31">
        <v>48</v>
      </c>
      <c r="J242" s="31">
        <v>24</v>
      </c>
      <c r="K242" s="31" t="s">
        <v>105</v>
      </c>
      <c r="L242" s="31" t="s">
        <v>624</v>
      </c>
      <c r="M242" s="31" t="s">
        <v>624</v>
      </c>
      <c r="N242" s="31" t="s">
        <v>624</v>
      </c>
      <c r="O242" s="31" t="s">
        <v>624</v>
      </c>
      <c r="P242" s="31" t="s">
        <v>624</v>
      </c>
      <c r="Q242" s="31" t="s">
        <v>624</v>
      </c>
      <c r="R242" s="31" t="s">
        <v>625</v>
      </c>
      <c r="S242" s="31" t="s">
        <v>625</v>
      </c>
      <c r="T242" s="31" t="s">
        <v>625</v>
      </c>
      <c r="U242" s="31" t="s">
        <v>625</v>
      </c>
      <c r="V242" s="31" t="s">
        <v>626</v>
      </c>
      <c r="W242" s="31" t="s">
        <v>625</v>
      </c>
      <c r="X242" s="31" t="s">
        <v>625</v>
      </c>
      <c r="Y242" s="31" t="s">
        <v>626</v>
      </c>
      <c r="Z242" s="31" t="s">
        <v>626</v>
      </c>
      <c r="AA242" s="31" t="s">
        <v>625</v>
      </c>
      <c r="AB242" s="31" t="s">
        <v>627</v>
      </c>
      <c r="AC242" s="31" t="s">
        <v>628</v>
      </c>
      <c r="AD242" s="33" t="s">
        <v>629</v>
      </c>
    </row>
    <row r="243" spans="1:30" x14ac:dyDescent="0.3">
      <c r="A243" s="34"/>
      <c r="B243" s="35"/>
      <c r="C243" s="25" t="s">
        <v>652</v>
      </c>
      <c r="D243" s="25" t="s">
        <v>311</v>
      </c>
      <c r="E243" s="25" t="s">
        <v>677</v>
      </c>
      <c r="F243" s="25" t="s">
        <v>859</v>
      </c>
      <c r="G243" s="25" t="s">
        <v>633</v>
      </c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6"/>
    </row>
    <row r="244" spans="1:30" x14ac:dyDescent="0.3">
      <c r="A244" s="34"/>
      <c r="B244" s="35"/>
      <c r="C244" s="25" t="s">
        <v>630</v>
      </c>
      <c r="D244" s="25" t="s">
        <v>312</v>
      </c>
      <c r="E244" s="25" t="s">
        <v>631</v>
      </c>
      <c r="F244" s="25" t="s">
        <v>632</v>
      </c>
      <c r="G244" s="25" t="s">
        <v>633</v>
      </c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6"/>
    </row>
    <row r="245" spans="1:30" x14ac:dyDescent="0.3">
      <c r="A245" s="34"/>
      <c r="B245" s="35"/>
      <c r="C245" s="25" t="s">
        <v>634</v>
      </c>
      <c r="D245" s="25" t="s">
        <v>27</v>
      </c>
      <c r="E245" s="25" t="s">
        <v>752</v>
      </c>
      <c r="F245" s="25" t="s">
        <v>689</v>
      </c>
      <c r="G245" s="25" t="s">
        <v>633</v>
      </c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6"/>
    </row>
    <row r="246" spans="1:30" x14ac:dyDescent="0.3">
      <c r="A246" s="34"/>
      <c r="B246" s="37"/>
      <c r="C246" s="25" t="s">
        <v>640</v>
      </c>
      <c r="D246" s="25" t="s">
        <v>313</v>
      </c>
      <c r="E246" s="25" t="s">
        <v>839</v>
      </c>
      <c r="F246" s="25" t="s">
        <v>636</v>
      </c>
      <c r="G246" s="25" t="s">
        <v>633</v>
      </c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6"/>
    </row>
    <row r="247" spans="1:30" x14ac:dyDescent="0.3">
      <c r="A247" s="34"/>
      <c r="B247" s="25" t="s">
        <v>626</v>
      </c>
      <c r="C247" s="25" t="s">
        <v>626</v>
      </c>
      <c r="D247" s="25" t="s">
        <v>314</v>
      </c>
      <c r="E247" s="25" t="s">
        <v>666</v>
      </c>
      <c r="F247" s="25" t="s">
        <v>667</v>
      </c>
      <c r="G247" s="25" t="s">
        <v>650</v>
      </c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6"/>
    </row>
    <row r="248" spans="1:30" x14ac:dyDescent="0.3">
      <c r="A248" s="34"/>
      <c r="B248" s="25" t="s">
        <v>860</v>
      </c>
      <c r="C248" s="25" t="s">
        <v>652</v>
      </c>
      <c r="D248" s="25" t="s">
        <v>82</v>
      </c>
      <c r="E248" s="25" t="s">
        <v>621</v>
      </c>
      <c r="F248" s="25" t="s">
        <v>653</v>
      </c>
      <c r="G248" s="25" t="s">
        <v>650</v>
      </c>
      <c r="H248" s="42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6"/>
    </row>
    <row r="249" spans="1:30" x14ac:dyDescent="0.3">
      <c r="A249" s="34"/>
      <c r="B249" s="25" t="s">
        <v>861</v>
      </c>
      <c r="C249" s="25" t="s">
        <v>652</v>
      </c>
      <c r="D249" s="25" t="s">
        <v>312</v>
      </c>
      <c r="E249" s="25" t="s">
        <v>631</v>
      </c>
      <c r="F249" s="25" t="s">
        <v>632</v>
      </c>
      <c r="G249" s="25" t="s">
        <v>650</v>
      </c>
      <c r="H249" s="42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6"/>
    </row>
    <row r="250" spans="1:30" x14ac:dyDescent="0.3">
      <c r="A250" s="34"/>
      <c r="B250" s="25" t="s">
        <v>862</v>
      </c>
      <c r="C250" s="25" t="s">
        <v>630</v>
      </c>
      <c r="D250" s="25" t="s">
        <v>27</v>
      </c>
      <c r="E250" s="25" t="s">
        <v>752</v>
      </c>
      <c r="F250" s="25" t="s">
        <v>689</v>
      </c>
      <c r="G250" s="25" t="s">
        <v>650</v>
      </c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6"/>
    </row>
    <row r="251" spans="1:30" ht="15" thickBot="1" x14ac:dyDescent="0.35">
      <c r="A251" s="38"/>
      <c r="B251" s="39" t="s">
        <v>863</v>
      </c>
      <c r="C251" s="39" t="s">
        <v>652</v>
      </c>
      <c r="D251" s="39" t="s">
        <v>315</v>
      </c>
      <c r="E251" s="39" t="s">
        <v>646</v>
      </c>
      <c r="F251" s="39" t="s">
        <v>864</v>
      </c>
      <c r="G251" s="39" t="s">
        <v>650</v>
      </c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1"/>
    </row>
    <row r="252" spans="1:30" x14ac:dyDescent="0.3">
      <c r="A252" s="30" t="s">
        <v>300</v>
      </c>
      <c r="B252" s="31" t="s">
        <v>865</v>
      </c>
      <c r="C252" s="32" t="s">
        <v>620</v>
      </c>
      <c r="D252" s="32" t="s">
        <v>301</v>
      </c>
      <c r="E252" s="32" t="s">
        <v>621</v>
      </c>
      <c r="F252" s="32"/>
      <c r="G252" s="32" t="s">
        <v>622</v>
      </c>
      <c r="H252" s="31" t="s">
        <v>623</v>
      </c>
      <c r="I252" s="31">
        <v>47</v>
      </c>
      <c r="J252" s="31">
        <v>23</v>
      </c>
      <c r="K252" s="31" t="s">
        <v>105</v>
      </c>
      <c r="L252" s="31" t="s">
        <v>624</v>
      </c>
      <c r="M252" s="31" t="s">
        <v>624</v>
      </c>
      <c r="N252" s="31" t="s">
        <v>624</v>
      </c>
      <c r="O252" s="31" t="s">
        <v>624</v>
      </c>
      <c r="P252" s="31" t="s">
        <v>624</v>
      </c>
      <c r="Q252" s="31" t="s">
        <v>624</v>
      </c>
      <c r="R252" s="31" t="s">
        <v>625</v>
      </c>
      <c r="S252" s="31" t="s">
        <v>625</v>
      </c>
      <c r="T252" s="31" t="s">
        <v>625</v>
      </c>
      <c r="U252" s="31" t="s">
        <v>625</v>
      </c>
      <c r="V252" s="31" t="s">
        <v>626</v>
      </c>
      <c r="W252" s="31" t="s">
        <v>625</v>
      </c>
      <c r="X252" s="31" t="s">
        <v>625</v>
      </c>
      <c r="Y252" s="31" t="s">
        <v>626</v>
      </c>
      <c r="Z252" s="31" t="s">
        <v>626</v>
      </c>
      <c r="AA252" s="31" t="s">
        <v>625</v>
      </c>
      <c r="AB252" s="31" t="s">
        <v>627</v>
      </c>
      <c r="AC252" s="31" t="s">
        <v>628</v>
      </c>
      <c r="AD252" s="33" t="s">
        <v>629</v>
      </c>
    </row>
    <row r="253" spans="1:30" x14ac:dyDescent="0.3">
      <c r="A253" s="34"/>
      <c r="B253" s="35"/>
      <c r="C253" s="25" t="s">
        <v>630</v>
      </c>
      <c r="D253" s="25" t="s">
        <v>302</v>
      </c>
      <c r="E253" s="25" t="s">
        <v>631</v>
      </c>
      <c r="F253" s="25" t="s">
        <v>632</v>
      </c>
      <c r="G253" s="25" t="s">
        <v>633</v>
      </c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6"/>
    </row>
    <row r="254" spans="1:30" x14ac:dyDescent="0.3">
      <c r="A254" s="34"/>
      <c r="B254" s="35"/>
      <c r="C254" s="25" t="s">
        <v>634</v>
      </c>
      <c r="D254" s="25" t="s">
        <v>303</v>
      </c>
      <c r="E254" s="25" t="s">
        <v>752</v>
      </c>
      <c r="F254" s="25" t="s">
        <v>753</v>
      </c>
      <c r="G254" s="25" t="s">
        <v>633</v>
      </c>
      <c r="H254" s="42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6"/>
    </row>
    <row r="255" spans="1:30" x14ac:dyDescent="0.3">
      <c r="A255" s="34"/>
      <c r="B255" s="35"/>
      <c r="C255" s="25" t="s">
        <v>637</v>
      </c>
      <c r="D255" s="25" t="s">
        <v>304</v>
      </c>
      <c r="E255" s="25" t="s">
        <v>648</v>
      </c>
      <c r="F255" s="25" t="s">
        <v>859</v>
      </c>
      <c r="G255" s="25" t="s">
        <v>633</v>
      </c>
      <c r="H255" s="42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6"/>
    </row>
    <row r="256" spans="1:30" x14ac:dyDescent="0.3">
      <c r="A256" s="34"/>
      <c r="B256" s="37"/>
      <c r="C256" s="25" t="s">
        <v>642</v>
      </c>
      <c r="D256" s="25" t="s">
        <v>305</v>
      </c>
      <c r="E256" s="25" t="s">
        <v>839</v>
      </c>
      <c r="F256" s="25" t="s">
        <v>636</v>
      </c>
      <c r="G256" s="25" t="s">
        <v>633</v>
      </c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6"/>
    </row>
    <row r="257" spans="1:30" x14ac:dyDescent="0.3">
      <c r="A257" s="34"/>
      <c r="B257" s="25" t="s">
        <v>866</v>
      </c>
      <c r="C257" s="25" t="s">
        <v>652</v>
      </c>
      <c r="D257" s="25" t="s">
        <v>129</v>
      </c>
      <c r="E257" s="25" t="s">
        <v>621</v>
      </c>
      <c r="F257" s="25" t="s">
        <v>653</v>
      </c>
      <c r="G257" s="25" t="s">
        <v>650</v>
      </c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6"/>
    </row>
    <row r="258" spans="1:30" x14ac:dyDescent="0.3">
      <c r="A258" s="34"/>
      <c r="B258" s="25" t="s">
        <v>669</v>
      </c>
      <c r="C258" s="25" t="s">
        <v>630</v>
      </c>
      <c r="D258" s="25" t="s">
        <v>302</v>
      </c>
      <c r="E258" s="25" t="s">
        <v>631</v>
      </c>
      <c r="F258" s="25" t="s">
        <v>632</v>
      </c>
      <c r="G258" s="25" t="s">
        <v>650</v>
      </c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6"/>
    </row>
    <row r="259" spans="1:30" x14ac:dyDescent="0.3">
      <c r="A259" s="34"/>
      <c r="B259" s="25" t="s">
        <v>761</v>
      </c>
      <c r="C259" s="25" t="s">
        <v>630</v>
      </c>
      <c r="D259" s="25" t="s">
        <v>303</v>
      </c>
      <c r="E259" s="25" t="s">
        <v>752</v>
      </c>
      <c r="F259" s="25" t="s">
        <v>753</v>
      </c>
      <c r="G259" s="25" t="s">
        <v>650</v>
      </c>
      <c r="H259" s="42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6"/>
    </row>
    <row r="260" spans="1:30" ht="15" thickBot="1" x14ac:dyDescent="0.35">
      <c r="A260" s="38"/>
      <c r="B260" s="39" t="s">
        <v>867</v>
      </c>
      <c r="C260" s="39" t="s">
        <v>652</v>
      </c>
      <c r="D260" s="39" t="s">
        <v>306</v>
      </c>
      <c r="E260" s="39" t="s">
        <v>646</v>
      </c>
      <c r="F260" s="39" t="s">
        <v>864</v>
      </c>
      <c r="G260" s="39" t="s">
        <v>650</v>
      </c>
      <c r="H260" s="39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1"/>
    </row>
    <row r="261" spans="1:30" x14ac:dyDescent="0.3">
      <c r="A261" s="30" t="s">
        <v>195</v>
      </c>
      <c r="B261" s="31" t="s">
        <v>868</v>
      </c>
      <c r="C261" s="32" t="s">
        <v>620</v>
      </c>
      <c r="D261" s="32" t="s">
        <v>196</v>
      </c>
      <c r="E261" s="32" t="s">
        <v>621</v>
      </c>
      <c r="F261" s="32"/>
      <c r="G261" s="32" t="s">
        <v>622</v>
      </c>
      <c r="H261" s="31" t="s">
        <v>702</v>
      </c>
      <c r="I261" s="31">
        <v>28</v>
      </c>
      <c r="J261" s="31">
        <v>15</v>
      </c>
      <c r="K261" s="31" t="s">
        <v>105</v>
      </c>
      <c r="L261" s="31" t="s">
        <v>624</v>
      </c>
      <c r="M261" s="31" t="s">
        <v>624</v>
      </c>
      <c r="N261" s="31" t="s">
        <v>624</v>
      </c>
      <c r="O261" s="31" t="s">
        <v>624</v>
      </c>
      <c r="P261" s="31" t="s">
        <v>624</v>
      </c>
      <c r="Q261" s="31" t="s">
        <v>624</v>
      </c>
      <c r="R261" s="31" t="s">
        <v>625</v>
      </c>
      <c r="S261" s="31" t="s">
        <v>625</v>
      </c>
      <c r="T261" s="31" t="s">
        <v>625</v>
      </c>
      <c r="U261" s="31" t="s">
        <v>625</v>
      </c>
      <c r="V261" s="31" t="s">
        <v>626</v>
      </c>
      <c r="W261" s="31" t="s">
        <v>625</v>
      </c>
      <c r="X261" s="31" t="s">
        <v>625</v>
      </c>
      <c r="Y261" s="31" t="s">
        <v>625</v>
      </c>
      <c r="Z261" s="31" t="s">
        <v>626</v>
      </c>
      <c r="AA261" s="31" t="s">
        <v>625</v>
      </c>
      <c r="AB261" s="31" t="s">
        <v>627</v>
      </c>
      <c r="AC261" s="31" t="s">
        <v>628</v>
      </c>
      <c r="AD261" s="33" t="s">
        <v>706</v>
      </c>
    </row>
    <row r="262" spans="1:30" x14ac:dyDescent="0.3">
      <c r="A262" s="34"/>
      <c r="B262" s="35"/>
      <c r="C262" s="25" t="s">
        <v>630</v>
      </c>
      <c r="D262" s="25" t="s">
        <v>197</v>
      </c>
      <c r="E262" s="25" t="s">
        <v>631</v>
      </c>
      <c r="F262" s="25" t="s">
        <v>632</v>
      </c>
      <c r="G262" s="25" t="s">
        <v>633</v>
      </c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6"/>
    </row>
    <row r="263" spans="1:30" x14ac:dyDescent="0.3">
      <c r="A263" s="34"/>
      <c r="B263" s="35"/>
      <c r="C263" s="25" t="s">
        <v>634</v>
      </c>
      <c r="D263" s="25" t="s">
        <v>198</v>
      </c>
      <c r="E263" s="25" t="s">
        <v>643</v>
      </c>
      <c r="F263" s="25" t="s">
        <v>753</v>
      </c>
      <c r="G263" s="25" t="s">
        <v>633</v>
      </c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6"/>
    </row>
    <row r="264" spans="1:30" x14ac:dyDescent="0.3">
      <c r="A264" s="34"/>
      <c r="B264" s="35"/>
      <c r="C264" s="25" t="s">
        <v>642</v>
      </c>
      <c r="D264" s="25" t="s">
        <v>199</v>
      </c>
      <c r="E264" s="25" t="s">
        <v>641</v>
      </c>
      <c r="F264" s="25" t="s">
        <v>632</v>
      </c>
      <c r="G264" s="25" t="s">
        <v>633</v>
      </c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6"/>
    </row>
    <row r="265" spans="1:30" x14ac:dyDescent="0.3">
      <c r="A265" s="34"/>
      <c r="B265" s="37"/>
      <c r="C265" s="25" t="s">
        <v>711</v>
      </c>
      <c r="D265" s="25" t="s">
        <v>90</v>
      </c>
      <c r="E265" s="25" t="s">
        <v>720</v>
      </c>
      <c r="F265" s="25" t="s">
        <v>869</v>
      </c>
      <c r="G265" s="25" t="s">
        <v>633</v>
      </c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6"/>
    </row>
    <row r="266" spans="1:30" x14ac:dyDescent="0.3">
      <c r="A266" s="34"/>
      <c r="B266" s="25" t="s">
        <v>870</v>
      </c>
      <c r="C266" s="25" t="s">
        <v>652</v>
      </c>
      <c r="D266" s="25" t="s">
        <v>100</v>
      </c>
      <c r="E266" s="25" t="s">
        <v>621</v>
      </c>
      <c r="F266" s="25" t="s">
        <v>653</v>
      </c>
      <c r="G266" s="25" t="s">
        <v>650</v>
      </c>
      <c r="H266" s="42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6"/>
    </row>
    <row r="267" spans="1:30" x14ac:dyDescent="0.3">
      <c r="A267" s="34"/>
      <c r="B267" s="25" t="s">
        <v>871</v>
      </c>
      <c r="C267" s="25" t="s">
        <v>652</v>
      </c>
      <c r="D267" s="25" t="s">
        <v>197</v>
      </c>
      <c r="E267" s="25" t="s">
        <v>631</v>
      </c>
      <c r="F267" s="25" t="s">
        <v>632</v>
      </c>
      <c r="G267" s="25" t="s">
        <v>650</v>
      </c>
      <c r="H267" s="42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6"/>
    </row>
    <row r="268" spans="1:30" x14ac:dyDescent="0.3">
      <c r="A268" s="34"/>
      <c r="B268" s="25" t="s">
        <v>872</v>
      </c>
      <c r="C268" s="25" t="s">
        <v>642</v>
      </c>
      <c r="D268" s="25" t="s">
        <v>199</v>
      </c>
      <c r="E268" s="25" t="s">
        <v>641</v>
      </c>
      <c r="F268" s="25" t="s">
        <v>632</v>
      </c>
      <c r="G268" s="25" t="s">
        <v>650</v>
      </c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6"/>
    </row>
    <row r="269" spans="1:30" x14ac:dyDescent="0.3">
      <c r="A269" s="34"/>
      <c r="B269" s="25" t="s">
        <v>855</v>
      </c>
      <c r="C269" s="25" t="s">
        <v>630</v>
      </c>
      <c r="D269" s="25" t="s">
        <v>198</v>
      </c>
      <c r="E269" s="25" t="s">
        <v>643</v>
      </c>
      <c r="F269" s="25" t="s">
        <v>753</v>
      </c>
      <c r="G269" s="25" t="s">
        <v>650</v>
      </c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6"/>
    </row>
    <row r="270" spans="1:30" ht="15" thickBot="1" x14ac:dyDescent="0.35">
      <c r="A270" s="38"/>
      <c r="B270" s="39" t="s">
        <v>873</v>
      </c>
      <c r="C270" s="39" t="s">
        <v>652</v>
      </c>
      <c r="D270" s="39" t="s">
        <v>200</v>
      </c>
      <c r="E270" s="39" t="s">
        <v>646</v>
      </c>
      <c r="F270" s="39" t="s">
        <v>864</v>
      </c>
      <c r="G270" s="39" t="s">
        <v>650</v>
      </c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1"/>
    </row>
    <row r="271" spans="1:30" x14ac:dyDescent="0.3">
      <c r="A271" s="30" t="s">
        <v>186</v>
      </c>
      <c r="B271" s="31" t="s">
        <v>874</v>
      </c>
      <c r="C271" s="32" t="s">
        <v>620</v>
      </c>
      <c r="D271" s="32" t="s">
        <v>187</v>
      </c>
      <c r="E271" s="32" t="s">
        <v>621</v>
      </c>
      <c r="F271" s="32"/>
      <c r="G271" s="32" t="s">
        <v>622</v>
      </c>
      <c r="H271" s="31" t="s">
        <v>772</v>
      </c>
      <c r="I271" s="31">
        <v>27</v>
      </c>
      <c r="J271" s="31">
        <v>14</v>
      </c>
      <c r="K271" s="31" t="s">
        <v>105</v>
      </c>
      <c r="L271" s="31" t="s">
        <v>624</v>
      </c>
      <c r="M271" s="31" t="s">
        <v>624</v>
      </c>
      <c r="N271" s="31" t="s">
        <v>624</v>
      </c>
      <c r="O271" s="31" t="s">
        <v>624</v>
      </c>
      <c r="P271" s="31" t="s">
        <v>624</v>
      </c>
      <c r="Q271" s="31" t="s">
        <v>624</v>
      </c>
      <c r="R271" s="31" t="s">
        <v>625</v>
      </c>
      <c r="S271" s="31" t="s">
        <v>625</v>
      </c>
      <c r="T271" s="31" t="s">
        <v>625</v>
      </c>
      <c r="U271" s="31" t="s">
        <v>625</v>
      </c>
      <c r="V271" s="31" t="s">
        <v>626</v>
      </c>
      <c r="W271" s="31" t="s">
        <v>625</v>
      </c>
      <c r="X271" s="31" t="s">
        <v>625</v>
      </c>
      <c r="Y271" s="31" t="s">
        <v>625</v>
      </c>
      <c r="Z271" s="31" t="s">
        <v>626</v>
      </c>
      <c r="AA271" s="31" t="s">
        <v>625</v>
      </c>
      <c r="AB271" s="31" t="s">
        <v>627</v>
      </c>
      <c r="AC271" s="31" t="s">
        <v>628</v>
      </c>
      <c r="AD271" s="33" t="s">
        <v>706</v>
      </c>
    </row>
    <row r="272" spans="1:30" x14ac:dyDescent="0.3">
      <c r="A272" s="34"/>
      <c r="B272" s="35"/>
      <c r="C272" s="25" t="s">
        <v>630</v>
      </c>
      <c r="D272" s="25" t="s">
        <v>188</v>
      </c>
      <c r="E272" s="25" t="s">
        <v>631</v>
      </c>
      <c r="F272" s="25" t="s">
        <v>632</v>
      </c>
      <c r="G272" s="25" t="s">
        <v>633</v>
      </c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6"/>
    </row>
    <row r="273" spans="1:30" x14ac:dyDescent="0.3">
      <c r="A273" s="34"/>
      <c r="B273" s="35"/>
      <c r="C273" s="25" t="s">
        <v>634</v>
      </c>
      <c r="D273" s="25" t="s">
        <v>189</v>
      </c>
      <c r="E273" s="25" t="s">
        <v>643</v>
      </c>
      <c r="F273" s="25" t="s">
        <v>724</v>
      </c>
      <c r="G273" s="25" t="s">
        <v>633</v>
      </c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6"/>
    </row>
    <row r="274" spans="1:30" x14ac:dyDescent="0.3">
      <c r="A274" s="34"/>
      <c r="B274" s="35"/>
      <c r="C274" s="25" t="s">
        <v>637</v>
      </c>
      <c r="D274" s="25" t="s">
        <v>190</v>
      </c>
      <c r="E274" s="25" t="s">
        <v>643</v>
      </c>
      <c r="F274" s="25" t="s">
        <v>763</v>
      </c>
      <c r="G274" s="25" t="s">
        <v>633</v>
      </c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6"/>
    </row>
    <row r="275" spans="1:30" x14ac:dyDescent="0.3">
      <c r="A275" s="34"/>
      <c r="B275" s="35"/>
      <c r="C275" s="25" t="s">
        <v>640</v>
      </c>
      <c r="D275" s="25" t="s">
        <v>167</v>
      </c>
      <c r="E275" s="25" t="s">
        <v>720</v>
      </c>
      <c r="F275" s="25" t="s">
        <v>869</v>
      </c>
      <c r="G275" s="25" t="s">
        <v>633</v>
      </c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6"/>
    </row>
    <row r="276" spans="1:30" x14ac:dyDescent="0.3">
      <c r="A276" s="34"/>
      <c r="B276" s="37"/>
      <c r="C276" s="25" t="s">
        <v>642</v>
      </c>
      <c r="D276" s="25" t="s">
        <v>191</v>
      </c>
      <c r="E276" s="25" t="s">
        <v>641</v>
      </c>
      <c r="F276" s="25" t="s">
        <v>632</v>
      </c>
      <c r="G276" s="25" t="s">
        <v>633</v>
      </c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6"/>
    </row>
    <row r="277" spans="1:30" x14ac:dyDescent="0.3">
      <c r="A277" s="34"/>
      <c r="B277" s="25" t="s">
        <v>875</v>
      </c>
      <c r="C277" s="25" t="s">
        <v>652</v>
      </c>
      <c r="D277" s="25" t="s">
        <v>192</v>
      </c>
      <c r="E277" s="25" t="s">
        <v>621</v>
      </c>
      <c r="F277" s="25" t="s">
        <v>653</v>
      </c>
      <c r="G277" s="25" t="s">
        <v>650</v>
      </c>
      <c r="H277" s="42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6"/>
    </row>
    <row r="278" spans="1:30" x14ac:dyDescent="0.3">
      <c r="A278" s="34"/>
      <c r="B278" s="25" t="s">
        <v>876</v>
      </c>
      <c r="C278" s="25" t="s">
        <v>652</v>
      </c>
      <c r="D278" s="25" t="s">
        <v>188</v>
      </c>
      <c r="E278" s="25" t="s">
        <v>631</v>
      </c>
      <c r="F278" s="25" t="s">
        <v>632</v>
      </c>
      <c r="G278" s="25" t="s">
        <v>650</v>
      </c>
      <c r="H278" s="42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6"/>
    </row>
    <row r="279" spans="1:30" x14ac:dyDescent="0.3">
      <c r="A279" s="34"/>
      <c r="B279" s="25" t="s">
        <v>745</v>
      </c>
      <c r="C279" s="25" t="s">
        <v>640</v>
      </c>
      <c r="D279" s="25" t="s">
        <v>191</v>
      </c>
      <c r="E279" s="25" t="s">
        <v>641</v>
      </c>
      <c r="F279" s="25" t="s">
        <v>632</v>
      </c>
      <c r="G279" s="25" t="s">
        <v>650</v>
      </c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6"/>
    </row>
    <row r="280" spans="1:30" x14ac:dyDescent="0.3">
      <c r="A280" s="34"/>
      <c r="B280" s="25" t="s">
        <v>847</v>
      </c>
      <c r="C280" s="25" t="s">
        <v>630</v>
      </c>
      <c r="D280" s="25" t="s">
        <v>190</v>
      </c>
      <c r="E280" s="25" t="s">
        <v>643</v>
      </c>
      <c r="F280" s="25" t="s">
        <v>763</v>
      </c>
      <c r="G280" s="25" t="s">
        <v>650</v>
      </c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6"/>
    </row>
    <row r="281" spans="1:30" x14ac:dyDescent="0.3">
      <c r="A281" s="34"/>
      <c r="B281" s="25" t="s">
        <v>747</v>
      </c>
      <c r="C281" s="25" t="s">
        <v>652</v>
      </c>
      <c r="D281" s="25" t="s">
        <v>189</v>
      </c>
      <c r="E281" s="25" t="s">
        <v>643</v>
      </c>
      <c r="F281" s="25" t="s">
        <v>724</v>
      </c>
      <c r="G281" s="25" t="s">
        <v>650</v>
      </c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6"/>
    </row>
    <row r="282" spans="1:30" ht="15" thickBot="1" x14ac:dyDescent="0.35">
      <c r="A282" s="38"/>
      <c r="B282" s="39" t="s">
        <v>877</v>
      </c>
      <c r="C282" s="39" t="s">
        <v>652</v>
      </c>
      <c r="D282" s="39" t="s">
        <v>193</v>
      </c>
      <c r="E282" s="39" t="s">
        <v>646</v>
      </c>
      <c r="F282" s="39" t="s">
        <v>864</v>
      </c>
      <c r="G282" s="39" t="s">
        <v>650</v>
      </c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1"/>
    </row>
    <row r="283" spans="1:30" x14ac:dyDescent="0.3">
      <c r="A283" s="30" t="s">
        <v>478</v>
      </c>
      <c r="B283" s="31" t="s">
        <v>878</v>
      </c>
      <c r="C283" s="32" t="s">
        <v>620</v>
      </c>
      <c r="D283" s="32" t="s">
        <v>479</v>
      </c>
      <c r="E283" s="32" t="s">
        <v>621</v>
      </c>
      <c r="F283" s="32"/>
      <c r="G283" s="32" t="s">
        <v>622</v>
      </c>
      <c r="H283" s="31" t="s">
        <v>623</v>
      </c>
      <c r="I283" s="31">
        <v>77</v>
      </c>
      <c r="J283" s="31" t="s">
        <v>626</v>
      </c>
      <c r="K283" s="31" t="s">
        <v>105</v>
      </c>
      <c r="L283" s="31" t="s">
        <v>624</v>
      </c>
      <c r="M283" s="31" t="s">
        <v>624</v>
      </c>
      <c r="N283" s="31" t="s">
        <v>624</v>
      </c>
      <c r="O283" s="31" t="s">
        <v>624</v>
      </c>
      <c r="P283" s="31" t="s">
        <v>624</v>
      </c>
      <c r="Q283" s="31" t="s">
        <v>624</v>
      </c>
      <c r="R283" s="31" t="s">
        <v>625</v>
      </c>
      <c r="S283" s="31" t="s">
        <v>625</v>
      </c>
      <c r="T283" s="31" t="s">
        <v>625</v>
      </c>
      <c r="U283" s="31" t="s">
        <v>625</v>
      </c>
      <c r="V283" s="31" t="s">
        <v>626</v>
      </c>
      <c r="W283" s="31" t="s">
        <v>625</v>
      </c>
      <c r="X283" s="31" t="s">
        <v>625</v>
      </c>
      <c r="Y283" s="31" t="s">
        <v>626</v>
      </c>
      <c r="Z283" s="31" t="s">
        <v>626</v>
      </c>
      <c r="AA283" s="31" t="s">
        <v>625</v>
      </c>
      <c r="AB283" s="31" t="s">
        <v>627</v>
      </c>
      <c r="AC283" s="31" t="s">
        <v>628</v>
      </c>
      <c r="AD283" s="33" t="s">
        <v>629</v>
      </c>
    </row>
    <row r="284" spans="1:30" x14ac:dyDescent="0.3">
      <c r="A284" s="34"/>
      <c r="B284" s="35"/>
      <c r="C284" s="25" t="s">
        <v>630</v>
      </c>
      <c r="D284" s="25" t="s">
        <v>142</v>
      </c>
      <c r="E284" s="25" t="s">
        <v>641</v>
      </c>
      <c r="F284" s="25" t="s">
        <v>632</v>
      </c>
      <c r="G284" s="25" t="s">
        <v>633</v>
      </c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6"/>
    </row>
    <row r="285" spans="1:30" x14ac:dyDescent="0.3">
      <c r="A285" s="34"/>
      <c r="B285" s="35"/>
      <c r="C285" s="25" t="s">
        <v>640</v>
      </c>
      <c r="D285" s="25" t="s">
        <v>480</v>
      </c>
      <c r="E285" s="25" t="s">
        <v>635</v>
      </c>
      <c r="F285" s="25" t="s">
        <v>636</v>
      </c>
      <c r="G285" s="25" t="s">
        <v>633</v>
      </c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6"/>
    </row>
    <row r="286" spans="1:30" x14ac:dyDescent="0.3">
      <c r="A286" s="34"/>
      <c r="B286" s="37"/>
      <c r="C286" s="25" t="s">
        <v>642</v>
      </c>
      <c r="D286" s="25" t="s">
        <v>481</v>
      </c>
      <c r="E286" s="25" t="s">
        <v>643</v>
      </c>
      <c r="F286" s="25" t="s">
        <v>793</v>
      </c>
      <c r="G286" s="25" t="s">
        <v>633</v>
      </c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6"/>
    </row>
    <row r="287" spans="1:30" x14ac:dyDescent="0.3">
      <c r="A287" s="34"/>
      <c r="B287" s="25" t="s">
        <v>626</v>
      </c>
      <c r="C287" s="25" t="s">
        <v>626</v>
      </c>
      <c r="D287" s="25" t="s">
        <v>879</v>
      </c>
      <c r="E287" s="25" t="s">
        <v>648</v>
      </c>
      <c r="F287" s="25" t="s">
        <v>678</v>
      </c>
      <c r="G287" s="25" t="s">
        <v>650</v>
      </c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6"/>
    </row>
    <row r="288" spans="1:30" x14ac:dyDescent="0.3">
      <c r="A288" s="34"/>
      <c r="B288" s="25" t="s">
        <v>626</v>
      </c>
      <c r="C288" s="25" t="s">
        <v>626</v>
      </c>
      <c r="D288" s="25" t="s">
        <v>880</v>
      </c>
      <c r="E288" s="25" t="s">
        <v>666</v>
      </c>
      <c r="F288" s="25" t="s">
        <v>667</v>
      </c>
      <c r="G288" s="25" t="s">
        <v>650</v>
      </c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6"/>
    </row>
    <row r="289" spans="1:30" x14ac:dyDescent="0.3">
      <c r="A289" s="34"/>
      <c r="B289" s="25" t="s">
        <v>881</v>
      </c>
      <c r="C289" s="25" t="s">
        <v>652</v>
      </c>
      <c r="D289" s="25" t="s">
        <v>46</v>
      </c>
      <c r="E289" s="25" t="s">
        <v>621</v>
      </c>
      <c r="F289" s="25" t="s">
        <v>653</v>
      </c>
      <c r="G289" s="25" t="s">
        <v>650</v>
      </c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6"/>
    </row>
    <row r="290" spans="1:30" x14ac:dyDescent="0.3">
      <c r="A290" s="34"/>
      <c r="B290" s="25" t="s">
        <v>882</v>
      </c>
      <c r="C290" s="25" t="s">
        <v>642</v>
      </c>
      <c r="D290" s="25" t="s">
        <v>142</v>
      </c>
      <c r="E290" s="25" t="s">
        <v>641</v>
      </c>
      <c r="F290" s="25" t="s">
        <v>632</v>
      </c>
      <c r="G290" s="25" t="s">
        <v>650</v>
      </c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6"/>
    </row>
    <row r="291" spans="1:30" x14ac:dyDescent="0.3">
      <c r="A291" s="34"/>
      <c r="B291" s="25" t="s">
        <v>883</v>
      </c>
      <c r="C291" s="25" t="s">
        <v>652</v>
      </c>
      <c r="D291" s="25" t="s">
        <v>481</v>
      </c>
      <c r="E291" s="25" t="s">
        <v>643</v>
      </c>
      <c r="F291" s="25" t="s">
        <v>793</v>
      </c>
      <c r="G291" s="25" t="s">
        <v>650</v>
      </c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6"/>
    </row>
    <row r="292" spans="1:30" ht="15" thickBot="1" x14ac:dyDescent="0.35">
      <c r="A292" s="38"/>
      <c r="B292" s="39" t="s">
        <v>884</v>
      </c>
      <c r="C292" s="39" t="s">
        <v>652</v>
      </c>
      <c r="D292" s="39" t="s">
        <v>483</v>
      </c>
      <c r="E292" s="39" t="s">
        <v>739</v>
      </c>
      <c r="F292" s="39" t="s">
        <v>750</v>
      </c>
      <c r="G292" s="39" t="s">
        <v>650</v>
      </c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1"/>
    </row>
    <row r="293" spans="1:30" x14ac:dyDescent="0.3">
      <c r="A293" s="30" t="s">
        <v>471</v>
      </c>
      <c r="B293" s="31" t="s">
        <v>885</v>
      </c>
      <c r="C293" s="32" t="s">
        <v>620</v>
      </c>
      <c r="D293" s="32" t="s">
        <v>472</v>
      </c>
      <c r="E293" s="32" t="s">
        <v>621</v>
      </c>
      <c r="F293" s="32"/>
      <c r="G293" s="32" t="s">
        <v>622</v>
      </c>
      <c r="H293" s="31" t="s">
        <v>623</v>
      </c>
      <c r="I293" s="31">
        <v>76</v>
      </c>
      <c r="J293" s="31" t="s">
        <v>626</v>
      </c>
      <c r="K293" s="31" t="s">
        <v>105</v>
      </c>
      <c r="L293" s="31" t="s">
        <v>624</v>
      </c>
      <c r="M293" s="31" t="s">
        <v>624</v>
      </c>
      <c r="N293" s="31" t="s">
        <v>624</v>
      </c>
      <c r="O293" s="31" t="s">
        <v>624</v>
      </c>
      <c r="P293" s="31" t="s">
        <v>624</v>
      </c>
      <c r="Q293" s="31" t="s">
        <v>624</v>
      </c>
      <c r="R293" s="31" t="s">
        <v>625</v>
      </c>
      <c r="S293" s="31" t="s">
        <v>625</v>
      </c>
      <c r="T293" s="31" t="s">
        <v>625</v>
      </c>
      <c r="U293" s="31" t="s">
        <v>625</v>
      </c>
      <c r="V293" s="31" t="s">
        <v>626</v>
      </c>
      <c r="W293" s="31" t="s">
        <v>625</v>
      </c>
      <c r="X293" s="31" t="s">
        <v>625</v>
      </c>
      <c r="Y293" s="31" t="s">
        <v>626</v>
      </c>
      <c r="Z293" s="31" t="s">
        <v>626</v>
      </c>
      <c r="AA293" s="31" t="s">
        <v>625</v>
      </c>
      <c r="AB293" s="31" t="s">
        <v>627</v>
      </c>
      <c r="AC293" s="31" t="s">
        <v>628</v>
      </c>
      <c r="AD293" s="33" t="s">
        <v>629</v>
      </c>
    </row>
    <row r="294" spans="1:30" x14ac:dyDescent="0.3">
      <c r="A294" s="34"/>
      <c r="B294" s="35"/>
      <c r="C294" s="25" t="s">
        <v>630</v>
      </c>
      <c r="D294" s="25" t="s">
        <v>473</v>
      </c>
      <c r="E294" s="25" t="s">
        <v>641</v>
      </c>
      <c r="F294" s="25" t="s">
        <v>632</v>
      </c>
      <c r="G294" s="25" t="s">
        <v>633</v>
      </c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6"/>
    </row>
    <row r="295" spans="1:30" x14ac:dyDescent="0.3">
      <c r="A295" s="34"/>
      <c r="B295" s="37"/>
      <c r="C295" s="25" t="s">
        <v>642</v>
      </c>
      <c r="D295" s="25" t="s">
        <v>474</v>
      </c>
      <c r="E295" s="25" t="s">
        <v>635</v>
      </c>
      <c r="F295" s="25" t="s">
        <v>636</v>
      </c>
      <c r="G295" s="25" t="s">
        <v>633</v>
      </c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6"/>
    </row>
    <row r="296" spans="1:30" x14ac:dyDescent="0.3">
      <c r="A296" s="34"/>
      <c r="B296" s="25" t="s">
        <v>626</v>
      </c>
      <c r="C296" s="25" t="s">
        <v>626</v>
      </c>
      <c r="D296" s="25" t="s">
        <v>886</v>
      </c>
      <c r="E296" s="25" t="s">
        <v>648</v>
      </c>
      <c r="F296" s="25" t="s">
        <v>678</v>
      </c>
      <c r="G296" s="25" t="s">
        <v>650</v>
      </c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6"/>
    </row>
    <row r="297" spans="1:30" x14ac:dyDescent="0.3">
      <c r="A297" s="34"/>
      <c r="B297" s="25" t="s">
        <v>626</v>
      </c>
      <c r="C297" s="25" t="s">
        <v>626</v>
      </c>
      <c r="D297" s="25" t="s">
        <v>887</v>
      </c>
      <c r="E297" s="25" t="s">
        <v>666</v>
      </c>
      <c r="F297" s="25" t="s">
        <v>667</v>
      </c>
      <c r="G297" s="25" t="s">
        <v>650</v>
      </c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6"/>
    </row>
    <row r="298" spans="1:30" x14ac:dyDescent="0.3">
      <c r="A298" s="34"/>
      <c r="B298" s="25" t="s">
        <v>888</v>
      </c>
      <c r="C298" s="25" t="s">
        <v>652</v>
      </c>
      <c r="D298" s="25" t="s">
        <v>33</v>
      </c>
      <c r="E298" s="25" t="s">
        <v>621</v>
      </c>
      <c r="F298" s="25" t="s">
        <v>653</v>
      </c>
      <c r="G298" s="25" t="s">
        <v>650</v>
      </c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6"/>
    </row>
    <row r="299" spans="1:30" x14ac:dyDescent="0.3">
      <c r="A299" s="34"/>
      <c r="B299" s="25" t="s">
        <v>889</v>
      </c>
      <c r="C299" s="25" t="s">
        <v>640</v>
      </c>
      <c r="D299" s="25" t="s">
        <v>473</v>
      </c>
      <c r="E299" s="25" t="s">
        <v>641</v>
      </c>
      <c r="F299" s="25" t="s">
        <v>632</v>
      </c>
      <c r="G299" s="25" t="s">
        <v>650</v>
      </c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6"/>
    </row>
    <row r="300" spans="1:30" ht="15" thickBot="1" x14ac:dyDescent="0.35">
      <c r="A300" s="38"/>
      <c r="B300" s="39" t="s">
        <v>890</v>
      </c>
      <c r="C300" s="39" t="s">
        <v>652</v>
      </c>
      <c r="D300" s="39" t="s">
        <v>476</v>
      </c>
      <c r="E300" s="39" t="s">
        <v>739</v>
      </c>
      <c r="F300" s="39" t="s">
        <v>741</v>
      </c>
      <c r="G300" s="39" t="s">
        <v>650</v>
      </c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1"/>
    </row>
    <row r="301" spans="1:30" x14ac:dyDescent="0.3">
      <c r="A301" s="30" t="s">
        <v>465</v>
      </c>
      <c r="B301" s="31" t="s">
        <v>891</v>
      </c>
      <c r="C301" s="32" t="s">
        <v>620</v>
      </c>
      <c r="D301" s="32" t="s">
        <v>466</v>
      </c>
      <c r="E301" s="32" t="s">
        <v>621</v>
      </c>
      <c r="F301" s="32"/>
      <c r="G301" s="32" t="s">
        <v>622</v>
      </c>
      <c r="H301" s="31" t="s">
        <v>623</v>
      </c>
      <c r="I301" s="31">
        <v>75</v>
      </c>
      <c r="J301" s="31" t="s">
        <v>626</v>
      </c>
      <c r="K301" s="31" t="s">
        <v>105</v>
      </c>
      <c r="L301" s="31" t="s">
        <v>624</v>
      </c>
      <c r="M301" s="31" t="s">
        <v>624</v>
      </c>
      <c r="N301" s="31" t="s">
        <v>624</v>
      </c>
      <c r="O301" s="31" t="s">
        <v>624</v>
      </c>
      <c r="P301" s="31" t="s">
        <v>624</v>
      </c>
      <c r="Q301" s="31" t="s">
        <v>624</v>
      </c>
      <c r="R301" s="31" t="s">
        <v>625</v>
      </c>
      <c r="S301" s="31" t="s">
        <v>625</v>
      </c>
      <c r="T301" s="31" t="s">
        <v>625</v>
      </c>
      <c r="U301" s="31" t="s">
        <v>625</v>
      </c>
      <c r="V301" s="31" t="s">
        <v>626</v>
      </c>
      <c r="W301" s="31" t="s">
        <v>625</v>
      </c>
      <c r="X301" s="31" t="s">
        <v>625</v>
      </c>
      <c r="Y301" s="31" t="s">
        <v>626</v>
      </c>
      <c r="Z301" s="31" t="s">
        <v>626</v>
      </c>
      <c r="AA301" s="31" t="s">
        <v>625</v>
      </c>
      <c r="AB301" s="31" t="s">
        <v>627</v>
      </c>
      <c r="AC301" s="31" t="s">
        <v>628</v>
      </c>
      <c r="AD301" s="33" t="s">
        <v>629</v>
      </c>
    </row>
    <row r="302" spans="1:30" x14ac:dyDescent="0.3">
      <c r="A302" s="34"/>
      <c r="B302" s="35"/>
      <c r="C302" s="25" t="s">
        <v>630</v>
      </c>
      <c r="D302" s="25" t="s">
        <v>467</v>
      </c>
      <c r="E302" s="25" t="s">
        <v>641</v>
      </c>
      <c r="F302" s="25" t="s">
        <v>632</v>
      </c>
      <c r="G302" s="25" t="s">
        <v>633</v>
      </c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6"/>
    </row>
    <row r="303" spans="1:30" x14ac:dyDescent="0.3">
      <c r="A303" s="34"/>
      <c r="B303" s="35"/>
      <c r="C303" s="25" t="s">
        <v>634</v>
      </c>
      <c r="D303" s="25" t="s">
        <v>333</v>
      </c>
      <c r="E303" s="25" t="s">
        <v>659</v>
      </c>
      <c r="F303" s="25" t="s">
        <v>815</v>
      </c>
      <c r="G303" s="25" t="s">
        <v>633</v>
      </c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6"/>
    </row>
    <row r="304" spans="1:30" x14ac:dyDescent="0.3">
      <c r="A304" s="34"/>
      <c r="B304" s="37"/>
      <c r="C304" s="25" t="s">
        <v>642</v>
      </c>
      <c r="D304" s="25" t="s">
        <v>468</v>
      </c>
      <c r="E304" s="25" t="s">
        <v>635</v>
      </c>
      <c r="F304" s="25" t="s">
        <v>636</v>
      </c>
      <c r="G304" s="25" t="s">
        <v>633</v>
      </c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6"/>
    </row>
    <row r="305" spans="1:30" x14ac:dyDescent="0.3">
      <c r="A305" s="34"/>
      <c r="B305" s="25" t="s">
        <v>626</v>
      </c>
      <c r="C305" s="25" t="s">
        <v>626</v>
      </c>
      <c r="D305" s="25" t="s">
        <v>469</v>
      </c>
      <c r="E305" s="25" t="s">
        <v>648</v>
      </c>
      <c r="F305" s="25" t="s">
        <v>678</v>
      </c>
      <c r="G305" s="25" t="s">
        <v>650</v>
      </c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6"/>
    </row>
    <row r="306" spans="1:30" x14ac:dyDescent="0.3">
      <c r="A306" s="34"/>
      <c r="B306" s="25" t="s">
        <v>892</v>
      </c>
      <c r="C306" s="25" t="s">
        <v>652</v>
      </c>
      <c r="D306" s="25" t="s">
        <v>136</v>
      </c>
      <c r="E306" s="25" t="s">
        <v>621</v>
      </c>
      <c r="F306" s="25" t="s">
        <v>653</v>
      </c>
      <c r="G306" s="25" t="s">
        <v>650</v>
      </c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6"/>
    </row>
    <row r="307" spans="1:30" ht="15" thickBot="1" x14ac:dyDescent="0.35">
      <c r="A307" s="38"/>
      <c r="B307" s="39" t="s">
        <v>893</v>
      </c>
      <c r="C307" s="39" t="s">
        <v>637</v>
      </c>
      <c r="D307" s="39" t="s">
        <v>467</v>
      </c>
      <c r="E307" s="39" t="s">
        <v>641</v>
      </c>
      <c r="F307" s="39" t="s">
        <v>632</v>
      </c>
      <c r="G307" s="39" t="s">
        <v>650</v>
      </c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1"/>
    </row>
    <row r="308" spans="1:30" x14ac:dyDescent="0.3">
      <c r="A308" s="30" t="s">
        <v>458</v>
      </c>
      <c r="B308" s="31" t="s">
        <v>894</v>
      </c>
      <c r="C308" s="32" t="s">
        <v>620</v>
      </c>
      <c r="D308" s="32" t="s">
        <v>459</v>
      </c>
      <c r="E308" s="32" t="s">
        <v>621</v>
      </c>
      <c r="F308" s="32"/>
      <c r="G308" s="32" t="s">
        <v>622</v>
      </c>
      <c r="H308" s="31" t="s">
        <v>623</v>
      </c>
      <c r="I308" s="31">
        <v>74</v>
      </c>
      <c r="J308" s="31" t="s">
        <v>626</v>
      </c>
      <c r="K308" s="31" t="s">
        <v>105</v>
      </c>
      <c r="L308" s="31" t="s">
        <v>624</v>
      </c>
      <c r="M308" s="31" t="s">
        <v>624</v>
      </c>
      <c r="N308" s="31" t="s">
        <v>624</v>
      </c>
      <c r="O308" s="31" t="s">
        <v>624</v>
      </c>
      <c r="P308" s="31" t="s">
        <v>624</v>
      </c>
      <c r="Q308" s="31" t="s">
        <v>624</v>
      </c>
      <c r="R308" s="31" t="s">
        <v>625</v>
      </c>
      <c r="S308" s="31" t="s">
        <v>625</v>
      </c>
      <c r="T308" s="31" t="s">
        <v>625</v>
      </c>
      <c r="U308" s="31" t="s">
        <v>625</v>
      </c>
      <c r="V308" s="31" t="s">
        <v>626</v>
      </c>
      <c r="W308" s="31" t="s">
        <v>625</v>
      </c>
      <c r="X308" s="31" t="s">
        <v>625</v>
      </c>
      <c r="Y308" s="31" t="s">
        <v>626</v>
      </c>
      <c r="Z308" s="31" t="s">
        <v>626</v>
      </c>
      <c r="AA308" s="31" t="s">
        <v>625</v>
      </c>
      <c r="AB308" s="31" t="s">
        <v>627</v>
      </c>
      <c r="AC308" s="31" t="s">
        <v>628</v>
      </c>
      <c r="AD308" s="33" t="s">
        <v>629</v>
      </c>
    </row>
    <row r="309" spans="1:30" x14ac:dyDescent="0.3">
      <c r="A309" s="34"/>
      <c r="B309" s="35"/>
      <c r="C309" s="25" t="s">
        <v>630</v>
      </c>
      <c r="D309" s="25" t="s">
        <v>460</v>
      </c>
      <c r="E309" s="25" t="s">
        <v>641</v>
      </c>
      <c r="F309" s="25" t="s">
        <v>632</v>
      </c>
      <c r="G309" s="25" t="s">
        <v>633</v>
      </c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6"/>
    </row>
    <row r="310" spans="1:30" x14ac:dyDescent="0.3">
      <c r="A310" s="34"/>
      <c r="B310" s="37"/>
      <c r="C310" s="25" t="s">
        <v>640</v>
      </c>
      <c r="D310" s="25" t="s">
        <v>461</v>
      </c>
      <c r="E310" s="25" t="s">
        <v>635</v>
      </c>
      <c r="F310" s="25" t="s">
        <v>636</v>
      </c>
      <c r="G310" s="25" t="s">
        <v>633</v>
      </c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6"/>
    </row>
    <row r="311" spans="1:30" x14ac:dyDescent="0.3">
      <c r="A311" s="34"/>
      <c r="B311" s="25" t="s">
        <v>626</v>
      </c>
      <c r="C311" s="25" t="s">
        <v>626</v>
      </c>
      <c r="D311" s="25" t="s">
        <v>895</v>
      </c>
      <c r="E311" s="25" t="s">
        <v>648</v>
      </c>
      <c r="F311" s="25" t="s">
        <v>678</v>
      </c>
      <c r="G311" s="25" t="s">
        <v>650</v>
      </c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6"/>
    </row>
    <row r="312" spans="1:30" x14ac:dyDescent="0.3">
      <c r="A312" s="34"/>
      <c r="B312" s="25" t="s">
        <v>626</v>
      </c>
      <c r="C312" s="25" t="s">
        <v>626</v>
      </c>
      <c r="D312" s="25" t="s">
        <v>896</v>
      </c>
      <c r="E312" s="25" t="s">
        <v>666</v>
      </c>
      <c r="F312" s="25" t="s">
        <v>667</v>
      </c>
      <c r="G312" s="25" t="s">
        <v>650</v>
      </c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6"/>
    </row>
    <row r="313" spans="1:30" x14ac:dyDescent="0.3">
      <c r="A313" s="34"/>
      <c r="B313" s="25" t="s">
        <v>897</v>
      </c>
      <c r="C313" s="25" t="s">
        <v>652</v>
      </c>
      <c r="D313" s="25" t="s">
        <v>262</v>
      </c>
      <c r="E313" s="25" t="s">
        <v>621</v>
      </c>
      <c r="F313" s="25" t="s">
        <v>653</v>
      </c>
      <c r="G313" s="25" t="s">
        <v>650</v>
      </c>
      <c r="H313" s="42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6"/>
    </row>
    <row r="314" spans="1:30" x14ac:dyDescent="0.3">
      <c r="A314" s="34"/>
      <c r="B314" s="25" t="s">
        <v>898</v>
      </c>
      <c r="C314" s="25" t="s">
        <v>637</v>
      </c>
      <c r="D314" s="25" t="s">
        <v>460</v>
      </c>
      <c r="E314" s="25" t="s">
        <v>641</v>
      </c>
      <c r="F314" s="25" t="s">
        <v>632</v>
      </c>
      <c r="G314" s="25" t="s">
        <v>650</v>
      </c>
      <c r="H314" s="42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6"/>
    </row>
    <row r="315" spans="1:30" x14ac:dyDescent="0.3">
      <c r="A315" s="34"/>
      <c r="B315" s="25" t="s">
        <v>899</v>
      </c>
      <c r="C315" s="25" t="s">
        <v>652</v>
      </c>
      <c r="D315" s="25" t="s">
        <v>463</v>
      </c>
      <c r="E315" s="25" t="s">
        <v>837</v>
      </c>
      <c r="F315" s="25" t="s">
        <v>900</v>
      </c>
      <c r="G315" s="25" t="s">
        <v>650</v>
      </c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6"/>
    </row>
    <row r="316" spans="1:30" ht="15" thickBot="1" x14ac:dyDescent="0.35">
      <c r="A316" s="38"/>
      <c r="B316" s="39" t="s">
        <v>901</v>
      </c>
      <c r="C316" s="39" t="s">
        <v>630</v>
      </c>
      <c r="D316" s="39" t="s">
        <v>348</v>
      </c>
      <c r="E316" s="39" t="s">
        <v>659</v>
      </c>
      <c r="F316" s="39" t="s">
        <v>830</v>
      </c>
      <c r="G316" s="39" t="s">
        <v>650</v>
      </c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1"/>
    </row>
    <row r="317" spans="1:30" x14ac:dyDescent="0.3">
      <c r="A317" s="30" t="s">
        <v>422</v>
      </c>
      <c r="B317" s="31" t="s">
        <v>902</v>
      </c>
      <c r="C317" s="32" t="s">
        <v>620</v>
      </c>
      <c r="D317" s="32" t="s">
        <v>423</v>
      </c>
      <c r="E317" s="32" t="s">
        <v>621</v>
      </c>
      <c r="F317" s="32"/>
      <c r="G317" s="32" t="s">
        <v>622</v>
      </c>
      <c r="H317" s="31" t="s">
        <v>623</v>
      </c>
      <c r="I317" s="31">
        <v>68</v>
      </c>
      <c r="J317" s="31" t="s">
        <v>626</v>
      </c>
      <c r="K317" s="31" t="s">
        <v>105</v>
      </c>
      <c r="L317" s="31" t="s">
        <v>624</v>
      </c>
      <c r="M317" s="31" t="s">
        <v>624</v>
      </c>
      <c r="N317" s="31" t="s">
        <v>624</v>
      </c>
      <c r="O317" s="31" t="s">
        <v>624</v>
      </c>
      <c r="P317" s="31" t="s">
        <v>624</v>
      </c>
      <c r="Q317" s="31" t="s">
        <v>624</v>
      </c>
      <c r="R317" s="31" t="s">
        <v>625</v>
      </c>
      <c r="S317" s="31" t="s">
        <v>625</v>
      </c>
      <c r="T317" s="31" t="s">
        <v>625</v>
      </c>
      <c r="U317" s="31" t="s">
        <v>625</v>
      </c>
      <c r="V317" s="31" t="s">
        <v>626</v>
      </c>
      <c r="W317" s="31" t="s">
        <v>625</v>
      </c>
      <c r="X317" s="31" t="s">
        <v>625</v>
      </c>
      <c r="Y317" s="31" t="s">
        <v>626</v>
      </c>
      <c r="Z317" s="31" t="s">
        <v>626</v>
      </c>
      <c r="AA317" s="31" t="s">
        <v>625</v>
      </c>
      <c r="AB317" s="31" t="s">
        <v>627</v>
      </c>
      <c r="AC317" s="31" t="s">
        <v>628</v>
      </c>
      <c r="AD317" s="33" t="s">
        <v>629</v>
      </c>
    </row>
    <row r="318" spans="1:30" x14ac:dyDescent="0.3">
      <c r="A318" s="34"/>
      <c r="B318" s="35"/>
      <c r="C318" s="25" t="s">
        <v>652</v>
      </c>
      <c r="D318" s="25" t="s">
        <v>221</v>
      </c>
      <c r="E318" s="25" t="s">
        <v>725</v>
      </c>
      <c r="F318" s="25" t="s">
        <v>809</v>
      </c>
      <c r="G318" s="25" t="s">
        <v>633</v>
      </c>
      <c r="H318" s="42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6"/>
    </row>
    <row r="319" spans="1:30" x14ac:dyDescent="0.3">
      <c r="A319" s="34"/>
      <c r="B319" s="35"/>
      <c r="C319" s="25" t="s">
        <v>630</v>
      </c>
      <c r="D319" s="25" t="s">
        <v>147</v>
      </c>
      <c r="E319" s="25" t="s">
        <v>631</v>
      </c>
      <c r="F319" s="25" t="s">
        <v>632</v>
      </c>
      <c r="G319" s="25" t="s">
        <v>633</v>
      </c>
      <c r="H319" s="42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6"/>
    </row>
    <row r="320" spans="1:30" x14ac:dyDescent="0.3">
      <c r="A320" s="34"/>
      <c r="B320" s="37"/>
      <c r="C320" s="25" t="s">
        <v>642</v>
      </c>
      <c r="D320" s="25" t="s">
        <v>424</v>
      </c>
      <c r="E320" s="25" t="s">
        <v>635</v>
      </c>
      <c r="F320" s="25" t="s">
        <v>636</v>
      </c>
      <c r="G320" s="25" t="s">
        <v>633</v>
      </c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6"/>
    </row>
    <row r="321" spans="1:30" x14ac:dyDescent="0.3">
      <c r="A321" s="34"/>
      <c r="B321" s="25" t="s">
        <v>626</v>
      </c>
      <c r="C321" s="25" t="s">
        <v>626</v>
      </c>
      <c r="D321" s="25" t="s">
        <v>903</v>
      </c>
      <c r="E321" s="25" t="s">
        <v>677</v>
      </c>
      <c r="F321" s="25" t="s">
        <v>678</v>
      </c>
      <c r="G321" s="25" t="s">
        <v>650</v>
      </c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6"/>
    </row>
    <row r="322" spans="1:30" x14ac:dyDescent="0.3">
      <c r="A322" s="34"/>
      <c r="B322" s="25" t="s">
        <v>626</v>
      </c>
      <c r="C322" s="25" t="s">
        <v>626</v>
      </c>
      <c r="D322" s="25" t="s">
        <v>904</v>
      </c>
      <c r="E322" s="25" t="s">
        <v>666</v>
      </c>
      <c r="F322" s="25" t="s">
        <v>667</v>
      </c>
      <c r="G322" s="25" t="s">
        <v>650</v>
      </c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6"/>
    </row>
    <row r="323" spans="1:30" x14ac:dyDescent="0.3">
      <c r="A323" s="34"/>
      <c r="B323" s="25" t="s">
        <v>626</v>
      </c>
      <c r="C323" s="25" t="s">
        <v>626</v>
      </c>
      <c r="D323" s="25" t="s">
        <v>905</v>
      </c>
      <c r="E323" s="25" t="s">
        <v>648</v>
      </c>
      <c r="F323" s="25" t="s">
        <v>649</v>
      </c>
      <c r="G323" s="25" t="s">
        <v>650</v>
      </c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6"/>
    </row>
    <row r="324" spans="1:30" x14ac:dyDescent="0.3">
      <c r="A324" s="34"/>
      <c r="B324" s="25" t="s">
        <v>906</v>
      </c>
      <c r="C324" s="25" t="s">
        <v>652</v>
      </c>
      <c r="D324" s="25" t="s">
        <v>246</v>
      </c>
      <c r="E324" s="25" t="s">
        <v>621</v>
      </c>
      <c r="F324" s="25" t="s">
        <v>653</v>
      </c>
      <c r="G324" s="25" t="s">
        <v>650</v>
      </c>
      <c r="H324" s="42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6"/>
    </row>
    <row r="325" spans="1:30" x14ac:dyDescent="0.3">
      <c r="A325" s="34"/>
      <c r="B325" s="25" t="s">
        <v>907</v>
      </c>
      <c r="C325" s="25" t="s">
        <v>652</v>
      </c>
      <c r="D325" s="25" t="s">
        <v>147</v>
      </c>
      <c r="E325" s="25" t="s">
        <v>631</v>
      </c>
      <c r="F325" s="25" t="s">
        <v>632</v>
      </c>
      <c r="G325" s="25" t="s">
        <v>650</v>
      </c>
      <c r="H325" s="42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6"/>
    </row>
    <row r="326" spans="1:30" x14ac:dyDescent="0.3">
      <c r="A326" s="34"/>
      <c r="B326" s="25" t="s">
        <v>908</v>
      </c>
      <c r="C326" s="25" t="s">
        <v>652</v>
      </c>
      <c r="D326" s="25" t="s">
        <v>221</v>
      </c>
      <c r="E326" s="25" t="s">
        <v>725</v>
      </c>
      <c r="F326" s="25" t="s">
        <v>809</v>
      </c>
      <c r="G326" s="25" t="s">
        <v>650</v>
      </c>
      <c r="H326" s="42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6"/>
    </row>
    <row r="327" spans="1:30" ht="15" thickBot="1" x14ac:dyDescent="0.35">
      <c r="A327" s="38"/>
      <c r="B327" s="39" t="s">
        <v>749</v>
      </c>
      <c r="C327" s="39" t="s">
        <v>630</v>
      </c>
      <c r="D327" s="39" t="s">
        <v>383</v>
      </c>
      <c r="E327" s="39" t="s">
        <v>659</v>
      </c>
      <c r="F327" s="39" t="s">
        <v>750</v>
      </c>
      <c r="G327" s="39" t="s">
        <v>650</v>
      </c>
      <c r="H327" s="39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1"/>
    </row>
    <row r="328" spans="1:30" x14ac:dyDescent="0.3">
      <c r="A328" s="30" t="s">
        <v>417</v>
      </c>
      <c r="B328" s="31" t="s">
        <v>909</v>
      </c>
      <c r="C328" s="32" t="s">
        <v>620</v>
      </c>
      <c r="D328" s="32" t="s">
        <v>418</v>
      </c>
      <c r="E328" s="32" t="s">
        <v>621</v>
      </c>
      <c r="F328" s="32"/>
      <c r="G328" s="32" t="s">
        <v>622</v>
      </c>
      <c r="H328" s="31" t="s">
        <v>623</v>
      </c>
      <c r="I328" s="31">
        <v>67</v>
      </c>
      <c r="J328" s="31">
        <v>32</v>
      </c>
      <c r="K328" s="31" t="s">
        <v>105</v>
      </c>
      <c r="L328" s="31" t="s">
        <v>624</v>
      </c>
      <c r="M328" s="31" t="s">
        <v>624</v>
      </c>
      <c r="N328" s="31" t="s">
        <v>624</v>
      </c>
      <c r="O328" s="31" t="s">
        <v>624</v>
      </c>
      <c r="P328" s="31" t="s">
        <v>624</v>
      </c>
      <c r="Q328" s="31" t="s">
        <v>624</v>
      </c>
      <c r="R328" s="31" t="s">
        <v>625</v>
      </c>
      <c r="S328" s="31" t="s">
        <v>625</v>
      </c>
      <c r="T328" s="31" t="s">
        <v>625</v>
      </c>
      <c r="U328" s="31" t="s">
        <v>625</v>
      </c>
      <c r="V328" s="31" t="s">
        <v>626</v>
      </c>
      <c r="W328" s="31" t="s">
        <v>625</v>
      </c>
      <c r="X328" s="31" t="s">
        <v>625</v>
      </c>
      <c r="Y328" s="31" t="s">
        <v>626</v>
      </c>
      <c r="Z328" s="31" t="s">
        <v>626</v>
      </c>
      <c r="AA328" s="31" t="s">
        <v>625</v>
      </c>
      <c r="AB328" s="31" t="s">
        <v>627</v>
      </c>
      <c r="AC328" s="31" t="s">
        <v>628</v>
      </c>
      <c r="AD328" s="33" t="s">
        <v>629</v>
      </c>
    </row>
    <row r="329" spans="1:30" x14ac:dyDescent="0.3">
      <c r="A329" s="34"/>
      <c r="B329" s="35"/>
      <c r="C329" s="25" t="s">
        <v>652</v>
      </c>
      <c r="D329" s="25" t="s">
        <v>211</v>
      </c>
      <c r="E329" s="25" t="s">
        <v>725</v>
      </c>
      <c r="F329" s="25" t="s">
        <v>823</v>
      </c>
      <c r="G329" s="25" t="s">
        <v>633</v>
      </c>
      <c r="H329" s="42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6"/>
    </row>
    <row r="330" spans="1:30" x14ac:dyDescent="0.3">
      <c r="A330" s="34"/>
      <c r="B330" s="35"/>
      <c r="C330" s="25" t="s">
        <v>630</v>
      </c>
      <c r="D330" s="25" t="s">
        <v>77</v>
      </c>
      <c r="E330" s="25" t="s">
        <v>631</v>
      </c>
      <c r="F330" s="25" t="s">
        <v>632</v>
      </c>
      <c r="G330" s="25" t="s">
        <v>633</v>
      </c>
      <c r="H330" s="42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6"/>
    </row>
    <row r="331" spans="1:30" x14ac:dyDescent="0.3">
      <c r="A331" s="34"/>
      <c r="B331" s="35"/>
      <c r="C331" s="25" t="s">
        <v>634</v>
      </c>
      <c r="D331" s="25" t="s">
        <v>127</v>
      </c>
      <c r="E331" s="25" t="s">
        <v>638</v>
      </c>
      <c r="F331" s="25" t="s">
        <v>639</v>
      </c>
      <c r="G331" s="25" t="s">
        <v>633</v>
      </c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6"/>
    </row>
    <row r="332" spans="1:30" x14ac:dyDescent="0.3">
      <c r="A332" s="34"/>
      <c r="B332" s="37"/>
      <c r="C332" s="25" t="s">
        <v>640</v>
      </c>
      <c r="D332" s="25" t="s">
        <v>419</v>
      </c>
      <c r="E332" s="25" t="s">
        <v>635</v>
      </c>
      <c r="F332" s="25" t="s">
        <v>636</v>
      </c>
      <c r="G332" s="25" t="s">
        <v>633</v>
      </c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6"/>
    </row>
    <row r="333" spans="1:30" x14ac:dyDescent="0.3">
      <c r="A333" s="34"/>
      <c r="B333" s="25" t="s">
        <v>626</v>
      </c>
      <c r="C333" s="25" t="s">
        <v>626</v>
      </c>
      <c r="D333" s="25" t="s">
        <v>497</v>
      </c>
      <c r="E333" s="25" t="s">
        <v>648</v>
      </c>
      <c r="F333" s="25" t="s">
        <v>649</v>
      </c>
      <c r="G333" s="25" t="s">
        <v>650</v>
      </c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6"/>
    </row>
    <row r="334" spans="1:30" x14ac:dyDescent="0.3">
      <c r="A334" s="34"/>
      <c r="B334" s="25" t="s">
        <v>626</v>
      </c>
      <c r="C334" s="25" t="s">
        <v>626</v>
      </c>
      <c r="D334" s="25" t="s">
        <v>910</v>
      </c>
      <c r="E334" s="25" t="s">
        <v>677</v>
      </c>
      <c r="F334" s="25" t="s">
        <v>649</v>
      </c>
      <c r="G334" s="25" t="s">
        <v>650</v>
      </c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6"/>
    </row>
    <row r="335" spans="1:30" x14ac:dyDescent="0.3">
      <c r="A335" s="34"/>
      <c r="B335" s="25" t="s">
        <v>626</v>
      </c>
      <c r="C335" s="25" t="s">
        <v>626</v>
      </c>
      <c r="D335" s="25" t="s">
        <v>911</v>
      </c>
      <c r="E335" s="25" t="s">
        <v>666</v>
      </c>
      <c r="F335" s="25" t="s">
        <v>667</v>
      </c>
      <c r="G335" s="25" t="s">
        <v>650</v>
      </c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6"/>
    </row>
    <row r="336" spans="1:30" x14ac:dyDescent="0.3">
      <c r="A336" s="34"/>
      <c r="B336" s="25" t="s">
        <v>912</v>
      </c>
      <c r="C336" s="25" t="s">
        <v>652</v>
      </c>
      <c r="D336" s="25" t="s">
        <v>242</v>
      </c>
      <c r="E336" s="25" t="s">
        <v>621</v>
      </c>
      <c r="F336" s="25" t="s">
        <v>653</v>
      </c>
      <c r="G336" s="25" t="s">
        <v>650</v>
      </c>
      <c r="H336" s="42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6"/>
    </row>
    <row r="337" spans="1:30" x14ac:dyDescent="0.3">
      <c r="A337" s="34"/>
      <c r="B337" s="25" t="s">
        <v>913</v>
      </c>
      <c r="C337" s="25" t="s">
        <v>630</v>
      </c>
      <c r="D337" s="25" t="s">
        <v>77</v>
      </c>
      <c r="E337" s="25" t="s">
        <v>631</v>
      </c>
      <c r="F337" s="25" t="s">
        <v>632</v>
      </c>
      <c r="G337" s="25" t="s">
        <v>650</v>
      </c>
      <c r="H337" s="42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6"/>
    </row>
    <row r="338" spans="1:30" x14ac:dyDescent="0.3">
      <c r="A338" s="34"/>
      <c r="B338" s="25" t="s">
        <v>806</v>
      </c>
      <c r="C338" s="25" t="s">
        <v>634</v>
      </c>
      <c r="D338" s="25" t="s">
        <v>127</v>
      </c>
      <c r="E338" s="25" t="s">
        <v>638</v>
      </c>
      <c r="F338" s="25" t="s">
        <v>639</v>
      </c>
      <c r="G338" s="25" t="s">
        <v>650</v>
      </c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6"/>
    </row>
    <row r="339" spans="1:30" x14ac:dyDescent="0.3">
      <c r="A339" s="34"/>
      <c r="B339" s="25" t="s">
        <v>914</v>
      </c>
      <c r="C339" s="25" t="s">
        <v>652</v>
      </c>
      <c r="D339" s="25" t="s">
        <v>211</v>
      </c>
      <c r="E339" s="25" t="s">
        <v>725</v>
      </c>
      <c r="F339" s="25" t="s">
        <v>823</v>
      </c>
      <c r="G339" s="25" t="s">
        <v>650</v>
      </c>
      <c r="H339" s="42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6"/>
    </row>
    <row r="340" spans="1:30" ht="15" thickBot="1" x14ac:dyDescent="0.35">
      <c r="A340" s="38"/>
      <c r="B340" s="39" t="s">
        <v>740</v>
      </c>
      <c r="C340" s="39" t="s">
        <v>630</v>
      </c>
      <c r="D340" s="39" t="s">
        <v>390</v>
      </c>
      <c r="E340" s="39" t="s">
        <v>659</v>
      </c>
      <c r="F340" s="39" t="s">
        <v>741</v>
      </c>
      <c r="G340" s="39" t="s">
        <v>650</v>
      </c>
      <c r="H340" s="39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1"/>
    </row>
    <row r="341" spans="1:30" x14ac:dyDescent="0.3">
      <c r="A341" s="30" t="s">
        <v>411</v>
      </c>
      <c r="B341" s="31" t="s">
        <v>915</v>
      </c>
      <c r="C341" s="32" t="s">
        <v>620</v>
      </c>
      <c r="D341" s="32" t="s">
        <v>412</v>
      </c>
      <c r="E341" s="32" t="s">
        <v>621</v>
      </c>
      <c r="F341" s="32"/>
      <c r="G341" s="32" t="s">
        <v>622</v>
      </c>
      <c r="H341" s="31" t="s">
        <v>623</v>
      </c>
      <c r="I341" s="31">
        <v>66</v>
      </c>
      <c r="J341" s="31" t="s">
        <v>626</v>
      </c>
      <c r="K341" s="31" t="s">
        <v>105</v>
      </c>
      <c r="L341" s="31" t="s">
        <v>624</v>
      </c>
      <c r="M341" s="31" t="s">
        <v>624</v>
      </c>
      <c r="N341" s="31" t="s">
        <v>624</v>
      </c>
      <c r="O341" s="31" t="s">
        <v>624</v>
      </c>
      <c r="P341" s="31" t="s">
        <v>624</v>
      </c>
      <c r="Q341" s="31" t="s">
        <v>624</v>
      </c>
      <c r="R341" s="31" t="s">
        <v>625</v>
      </c>
      <c r="S341" s="31" t="s">
        <v>625</v>
      </c>
      <c r="T341" s="31" t="s">
        <v>625</v>
      </c>
      <c r="U341" s="31" t="s">
        <v>625</v>
      </c>
      <c r="V341" s="31" t="s">
        <v>626</v>
      </c>
      <c r="W341" s="31" t="s">
        <v>625</v>
      </c>
      <c r="X341" s="31" t="s">
        <v>625</v>
      </c>
      <c r="Y341" s="31" t="s">
        <v>626</v>
      </c>
      <c r="Z341" s="31" t="s">
        <v>626</v>
      </c>
      <c r="AA341" s="31" t="s">
        <v>625</v>
      </c>
      <c r="AB341" s="31" t="s">
        <v>627</v>
      </c>
      <c r="AC341" s="31" t="s">
        <v>628</v>
      </c>
      <c r="AD341" s="33" t="s">
        <v>629</v>
      </c>
    </row>
    <row r="342" spans="1:30" x14ac:dyDescent="0.3">
      <c r="A342" s="34"/>
      <c r="B342" s="35"/>
      <c r="C342" s="25" t="s">
        <v>630</v>
      </c>
      <c r="D342" s="25" t="s">
        <v>64</v>
      </c>
      <c r="E342" s="25" t="s">
        <v>631</v>
      </c>
      <c r="F342" s="25" t="s">
        <v>632</v>
      </c>
      <c r="G342" s="25" t="s">
        <v>633</v>
      </c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6"/>
    </row>
    <row r="343" spans="1:30" x14ac:dyDescent="0.3">
      <c r="A343" s="34"/>
      <c r="B343" s="35"/>
      <c r="C343" s="25" t="s">
        <v>634</v>
      </c>
      <c r="D343" s="25" t="s">
        <v>413</v>
      </c>
      <c r="E343" s="25" t="s">
        <v>688</v>
      </c>
      <c r="F343" s="25" t="s">
        <v>692</v>
      </c>
      <c r="G343" s="25" t="s">
        <v>633</v>
      </c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6"/>
    </row>
    <row r="344" spans="1:30" x14ac:dyDescent="0.3">
      <c r="A344" s="34"/>
      <c r="B344" s="37"/>
      <c r="C344" s="25" t="s">
        <v>637</v>
      </c>
      <c r="D344" s="25" t="s">
        <v>414</v>
      </c>
      <c r="E344" s="25" t="s">
        <v>635</v>
      </c>
      <c r="F344" s="25" t="s">
        <v>636</v>
      </c>
      <c r="G344" s="25" t="s">
        <v>633</v>
      </c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6"/>
    </row>
    <row r="345" spans="1:30" x14ac:dyDescent="0.3">
      <c r="A345" s="34"/>
      <c r="B345" s="25" t="s">
        <v>626</v>
      </c>
      <c r="C345" s="25" t="s">
        <v>626</v>
      </c>
      <c r="D345" s="25" t="s">
        <v>664</v>
      </c>
      <c r="E345" s="25" t="s">
        <v>648</v>
      </c>
      <c r="F345" s="25" t="s">
        <v>649</v>
      </c>
      <c r="G345" s="25" t="s">
        <v>650</v>
      </c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6"/>
    </row>
    <row r="346" spans="1:30" x14ac:dyDescent="0.3">
      <c r="A346" s="34"/>
      <c r="B346" s="25" t="s">
        <v>626</v>
      </c>
      <c r="C346" s="25" t="s">
        <v>626</v>
      </c>
      <c r="D346" s="25" t="s">
        <v>916</v>
      </c>
      <c r="E346" s="25" t="s">
        <v>677</v>
      </c>
      <c r="F346" s="25" t="s">
        <v>649</v>
      </c>
      <c r="G346" s="25" t="s">
        <v>650</v>
      </c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6"/>
    </row>
    <row r="347" spans="1:30" x14ac:dyDescent="0.3">
      <c r="A347" s="34"/>
      <c r="B347" s="25" t="s">
        <v>917</v>
      </c>
      <c r="C347" s="25" t="s">
        <v>652</v>
      </c>
      <c r="D347" s="25" t="s">
        <v>237</v>
      </c>
      <c r="E347" s="25" t="s">
        <v>621</v>
      </c>
      <c r="F347" s="25" t="s">
        <v>653</v>
      </c>
      <c r="G347" s="25" t="s">
        <v>650</v>
      </c>
      <c r="H347" s="42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6"/>
    </row>
    <row r="348" spans="1:30" x14ac:dyDescent="0.3">
      <c r="A348" s="34"/>
      <c r="B348" s="25" t="s">
        <v>918</v>
      </c>
      <c r="C348" s="25" t="s">
        <v>634</v>
      </c>
      <c r="D348" s="25" t="s">
        <v>64</v>
      </c>
      <c r="E348" s="25" t="s">
        <v>631</v>
      </c>
      <c r="F348" s="25" t="s">
        <v>632</v>
      </c>
      <c r="G348" s="25" t="s">
        <v>650</v>
      </c>
      <c r="H348" s="42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6"/>
    </row>
    <row r="349" spans="1:30" ht="15" thickBot="1" x14ac:dyDescent="0.35">
      <c r="A349" s="38"/>
      <c r="B349" s="39" t="s">
        <v>699</v>
      </c>
      <c r="C349" s="39" t="s">
        <v>630</v>
      </c>
      <c r="D349" s="39" t="s">
        <v>413</v>
      </c>
      <c r="E349" s="39" t="s">
        <v>688</v>
      </c>
      <c r="F349" s="39" t="s">
        <v>692</v>
      </c>
      <c r="G349" s="39" t="s">
        <v>650</v>
      </c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1"/>
    </row>
    <row r="350" spans="1:30" x14ac:dyDescent="0.3">
      <c r="A350" s="30" t="s">
        <v>406</v>
      </c>
      <c r="B350" s="31" t="s">
        <v>919</v>
      </c>
      <c r="C350" s="32" t="s">
        <v>620</v>
      </c>
      <c r="D350" s="32" t="s">
        <v>407</v>
      </c>
      <c r="E350" s="32" t="s">
        <v>621</v>
      </c>
      <c r="F350" s="32"/>
      <c r="G350" s="32" t="s">
        <v>622</v>
      </c>
      <c r="H350" s="31" t="s">
        <v>623</v>
      </c>
      <c r="I350" s="31">
        <v>65</v>
      </c>
      <c r="J350" s="31" t="s">
        <v>626</v>
      </c>
      <c r="K350" s="31" t="s">
        <v>105</v>
      </c>
      <c r="L350" s="31" t="s">
        <v>624</v>
      </c>
      <c r="M350" s="31" t="s">
        <v>624</v>
      </c>
      <c r="N350" s="31" t="s">
        <v>624</v>
      </c>
      <c r="O350" s="31" t="s">
        <v>624</v>
      </c>
      <c r="P350" s="31" t="s">
        <v>624</v>
      </c>
      <c r="Q350" s="31" t="s">
        <v>624</v>
      </c>
      <c r="R350" s="31" t="s">
        <v>625</v>
      </c>
      <c r="S350" s="31" t="s">
        <v>625</v>
      </c>
      <c r="T350" s="31" t="s">
        <v>625</v>
      </c>
      <c r="U350" s="31" t="s">
        <v>625</v>
      </c>
      <c r="V350" s="31" t="s">
        <v>626</v>
      </c>
      <c r="W350" s="31" t="s">
        <v>625</v>
      </c>
      <c r="X350" s="31" t="s">
        <v>625</v>
      </c>
      <c r="Y350" s="31" t="s">
        <v>626</v>
      </c>
      <c r="Z350" s="31" t="s">
        <v>626</v>
      </c>
      <c r="AA350" s="31" t="s">
        <v>625</v>
      </c>
      <c r="AB350" s="31" t="s">
        <v>627</v>
      </c>
      <c r="AC350" s="31" t="s">
        <v>628</v>
      </c>
      <c r="AD350" s="33" t="s">
        <v>629</v>
      </c>
    </row>
    <row r="351" spans="1:30" x14ac:dyDescent="0.3">
      <c r="A351" s="34"/>
      <c r="B351" s="35"/>
      <c r="C351" s="25" t="s">
        <v>630</v>
      </c>
      <c r="D351" s="25" t="s">
        <v>53</v>
      </c>
      <c r="E351" s="25" t="s">
        <v>631</v>
      </c>
      <c r="F351" s="25" t="s">
        <v>632</v>
      </c>
      <c r="G351" s="25" t="s">
        <v>633</v>
      </c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6"/>
    </row>
    <row r="352" spans="1:30" x14ac:dyDescent="0.3">
      <c r="A352" s="34"/>
      <c r="B352" s="37"/>
      <c r="C352" s="25" t="s">
        <v>634</v>
      </c>
      <c r="D352" s="25" t="s">
        <v>408</v>
      </c>
      <c r="E352" s="25" t="s">
        <v>688</v>
      </c>
      <c r="F352" s="25" t="s">
        <v>689</v>
      </c>
      <c r="G352" s="25" t="s">
        <v>633</v>
      </c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6"/>
    </row>
    <row r="353" spans="1:30" x14ac:dyDescent="0.3">
      <c r="A353" s="34"/>
      <c r="B353" s="25" t="s">
        <v>626</v>
      </c>
      <c r="C353" s="25" t="s">
        <v>626</v>
      </c>
      <c r="D353" s="25" t="s">
        <v>920</v>
      </c>
      <c r="E353" s="25" t="s">
        <v>677</v>
      </c>
      <c r="F353" s="25" t="s">
        <v>649</v>
      </c>
      <c r="G353" s="25" t="s">
        <v>650</v>
      </c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6"/>
    </row>
    <row r="354" spans="1:30" x14ac:dyDescent="0.3">
      <c r="A354" s="34"/>
      <c r="B354" s="25" t="s">
        <v>626</v>
      </c>
      <c r="C354" s="25" t="s">
        <v>626</v>
      </c>
      <c r="D354" s="25" t="s">
        <v>921</v>
      </c>
      <c r="E354" s="25" t="s">
        <v>666</v>
      </c>
      <c r="F354" s="25" t="s">
        <v>667</v>
      </c>
      <c r="G354" s="25" t="s">
        <v>650</v>
      </c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6"/>
    </row>
    <row r="355" spans="1:30" x14ac:dyDescent="0.3">
      <c r="A355" s="34"/>
      <c r="B355" s="25" t="s">
        <v>922</v>
      </c>
      <c r="C355" s="25" t="s">
        <v>652</v>
      </c>
      <c r="D355" s="25" t="s">
        <v>175</v>
      </c>
      <c r="E355" s="25" t="s">
        <v>621</v>
      </c>
      <c r="F355" s="25" t="s">
        <v>653</v>
      </c>
      <c r="G355" s="25" t="s">
        <v>650</v>
      </c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6"/>
    </row>
    <row r="356" spans="1:30" x14ac:dyDescent="0.3">
      <c r="A356" s="34"/>
      <c r="B356" s="25" t="s">
        <v>844</v>
      </c>
      <c r="C356" s="25" t="s">
        <v>652</v>
      </c>
      <c r="D356" s="25" t="s">
        <v>53</v>
      </c>
      <c r="E356" s="25" t="s">
        <v>631</v>
      </c>
      <c r="F356" s="25" t="s">
        <v>632</v>
      </c>
      <c r="G356" s="25" t="s">
        <v>650</v>
      </c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6"/>
    </row>
    <row r="357" spans="1:30" ht="15" thickBot="1" x14ac:dyDescent="0.35">
      <c r="A357" s="38"/>
      <c r="B357" s="39" t="s">
        <v>687</v>
      </c>
      <c r="C357" s="39" t="s">
        <v>652</v>
      </c>
      <c r="D357" s="39" t="s">
        <v>408</v>
      </c>
      <c r="E357" s="39" t="s">
        <v>688</v>
      </c>
      <c r="F357" s="39" t="s">
        <v>689</v>
      </c>
      <c r="G357" s="39" t="s">
        <v>650</v>
      </c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1"/>
    </row>
    <row r="358" spans="1:30" x14ac:dyDescent="0.3">
      <c r="A358" s="30" t="s">
        <v>401</v>
      </c>
      <c r="B358" s="31" t="s">
        <v>923</v>
      </c>
      <c r="C358" s="32" t="s">
        <v>620</v>
      </c>
      <c r="D358" s="32" t="s">
        <v>402</v>
      </c>
      <c r="E358" s="32" t="s">
        <v>621</v>
      </c>
      <c r="F358" s="32"/>
      <c r="G358" s="32" t="s">
        <v>622</v>
      </c>
      <c r="H358" s="31" t="s">
        <v>623</v>
      </c>
      <c r="I358" s="31">
        <v>64</v>
      </c>
      <c r="J358" s="31" t="s">
        <v>626</v>
      </c>
      <c r="K358" s="31" t="s">
        <v>105</v>
      </c>
      <c r="L358" s="31" t="s">
        <v>624</v>
      </c>
      <c r="M358" s="31" t="s">
        <v>624</v>
      </c>
      <c r="N358" s="31" t="s">
        <v>624</v>
      </c>
      <c r="O358" s="31" t="s">
        <v>624</v>
      </c>
      <c r="P358" s="31" t="s">
        <v>624</v>
      </c>
      <c r="Q358" s="31" t="s">
        <v>624</v>
      </c>
      <c r="R358" s="31" t="s">
        <v>625</v>
      </c>
      <c r="S358" s="31" t="s">
        <v>625</v>
      </c>
      <c r="T358" s="31" t="s">
        <v>625</v>
      </c>
      <c r="U358" s="31" t="s">
        <v>625</v>
      </c>
      <c r="V358" s="31" t="s">
        <v>626</v>
      </c>
      <c r="W358" s="31" t="s">
        <v>625</v>
      </c>
      <c r="X358" s="31" t="s">
        <v>625</v>
      </c>
      <c r="Y358" s="31" t="s">
        <v>626</v>
      </c>
      <c r="Z358" s="31" t="s">
        <v>626</v>
      </c>
      <c r="AA358" s="31" t="s">
        <v>625</v>
      </c>
      <c r="AB358" s="31" t="s">
        <v>627</v>
      </c>
      <c r="AC358" s="31" t="s">
        <v>628</v>
      </c>
      <c r="AD358" s="33" t="s">
        <v>629</v>
      </c>
    </row>
    <row r="359" spans="1:30" x14ac:dyDescent="0.3">
      <c r="A359" s="34"/>
      <c r="B359" s="35"/>
      <c r="C359" s="25" t="s">
        <v>630</v>
      </c>
      <c r="D359" s="25" t="s">
        <v>197</v>
      </c>
      <c r="E359" s="25" t="s">
        <v>631</v>
      </c>
      <c r="F359" s="25" t="s">
        <v>632</v>
      </c>
      <c r="G359" s="25" t="s">
        <v>633</v>
      </c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6"/>
    </row>
    <row r="360" spans="1:30" x14ac:dyDescent="0.3">
      <c r="A360" s="34"/>
      <c r="B360" s="37"/>
      <c r="C360" s="25" t="s">
        <v>634</v>
      </c>
      <c r="D360" s="25" t="s">
        <v>403</v>
      </c>
      <c r="E360" s="25" t="s">
        <v>688</v>
      </c>
      <c r="F360" s="25" t="s">
        <v>753</v>
      </c>
      <c r="G360" s="25" t="s">
        <v>633</v>
      </c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6"/>
    </row>
    <row r="361" spans="1:30" x14ac:dyDescent="0.3">
      <c r="A361" s="34"/>
      <c r="B361" s="25" t="s">
        <v>626</v>
      </c>
      <c r="C361" s="25" t="s">
        <v>626</v>
      </c>
      <c r="D361" s="25" t="s">
        <v>924</v>
      </c>
      <c r="E361" s="25" t="s">
        <v>666</v>
      </c>
      <c r="F361" s="25" t="s">
        <v>667</v>
      </c>
      <c r="G361" s="25" t="s">
        <v>650</v>
      </c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6"/>
    </row>
    <row r="362" spans="1:30" x14ac:dyDescent="0.3">
      <c r="A362" s="34"/>
      <c r="B362" s="25" t="s">
        <v>626</v>
      </c>
      <c r="C362" s="25" t="s">
        <v>626</v>
      </c>
      <c r="D362" s="25" t="s">
        <v>925</v>
      </c>
      <c r="E362" s="25" t="s">
        <v>677</v>
      </c>
      <c r="F362" s="25" t="s">
        <v>649</v>
      </c>
      <c r="G362" s="25" t="s">
        <v>650</v>
      </c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6"/>
    </row>
    <row r="363" spans="1:30" x14ac:dyDescent="0.3">
      <c r="A363" s="34"/>
      <c r="B363" s="25" t="s">
        <v>926</v>
      </c>
      <c r="C363" s="25" t="s">
        <v>652</v>
      </c>
      <c r="D363" s="25" t="s">
        <v>168</v>
      </c>
      <c r="E363" s="25" t="s">
        <v>621</v>
      </c>
      <c r="F363" s="25" t="s">
        <v>653</v>
      </c>
      <c r="G363" s="25" t="s">
        <v>650</v>
      </c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6"/>
    </row>
    <row r="364" spans="1:30" x14ac:dyDescent="0.3">
      <c r="A364" s="34"/>
      <c r="B364" s="25" t="s">
        <v>871</v>
      </c>
      <c r="C364" s="25" t="s">
        <v>630</v>
      </c>
      <c r="D364" s="25" t="s">
        <v>197</v>
      </c>
      <c r="E364" s="25" t="s">
        <v>631</v>
      </c>
      <c r="F364" s="25" t="s">
        <v>632</v>
      </c>
      <c r="G364" s="25" t="s">
        <v>650</v>
      </c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6"/>
    </row>
    <row r="365" spans="1:30" ht="15" thickBot="1" x14ac:dyDescent="0.35">
      <c r="A365" s="38"/>
      <c r="B365" s="39" t="s">
        <v>927</v>
      </c>
      <c r="C365" s="39" t="s">
        <v>630</v>
      </c>
      <c r="D365" s="39" t="s">
        <v>403</v>
      </c>
      <c r="E365" s="39" t="s">
        <v>688</v>
      </c>
      <c r="F365" s="39" t="s">
        <v>753</v>
      </c>
      <c r="G365" s="39" t="s">
        <v>650</v>
      </c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1"/>
    </row>
    <row r="366" spans="1:30" x14ac:dyDescent="0.3">
      <c r="A366" s="30" t="s">
        <v>395</v>
      </c>
      <c r="B366" s="31" t="s">
        <v>928</v>
      </c>
      <c r="C366" s="32" t="s">
        <v>620</v>
      </c>
      <c r="D366" s="32" t="s">
        <v>396</v>
      </c>
      <c r="E366" s="32" t="s">
        <v>621</v>
      </c>
      <c r="F366" s="32"/>
      <c r="G366" s="32" t="s">
        <v>622</v>
      </c>
      <c r="H366" s="31" t="s">
        <v>623</v>
      </c>
      <c r="I366" s="31">
        <v>63</v>
      </c>
      <c r="J366" s="31" t="s">
        <v>626</v>
      </c>
      <c r="K366" s="31" t="s">
        <v>105</v>
      </c>
      <c r="L366" s="31" t="s">
        <v>624</v>
      </c>
      <c r="M366" s="31" t="s">
        <v>624</v>
      </c>
      <c r="N366" s="31" t="s">
        <v>624</v>
      </c>
      <c r="O366" s="31" t="s">
        <v>624</v>
      </c>
      <c r="P366" s="31" t="s">
        <v>624</v>
      </c>
      <c r="Q366" s="31" t="s">
        <v>624</v>
      </c>
      <c r="R366" s="31" t="s">
        <v>625</v>
      </c>
      <c r="S366" s="31" t="s">
        <v>625</v>
      </c>
      <c r="T366" s="31" t="s">
        <v>625</v>
      </c>
      <c r="U366" s="31" t="s">
        <v>625</v>
      </c>
      <c r="V366" s="31" t="s">
        <v>626</v>
      </c>
      <c r="W366" s="31" t="s">
        <v>625</v>
      </c>
      <c r="X366" s="31" t="s">
        <v>625</v>
      </c>
      <c r="Y366" s="31" t="s">
        <v>626</v>
      </c>
      <c r="Z366" s="31" t="s">
        <v>626</v>
      </c>
      <c r="AA366" s="31" t="s">
        <v>625</v>
      </c>
      <c r="AB366" s="31" t="s">
        <v>627</v>
      </c>
      <c r="AC366" s="31" t="s">
        <v>628</v>
      </c>
      <c r="AD366" s="33" t="s">
        <v>629</v>
      </c>
    </row>
    <row r="367" spans="1:30" x14ac:dyDescent="0.3">
      <c r="A367" s="34"/>
      <c r="B367" s="35"/>
      <c r="C367" s="25" t="s">
        <v>630</v>
      </c>
      <c r="D367" s="25" t="s">
        <v>188</v>
      </c>
      <c r="E367" s="25" t="s">
        <v>631</v>
      </c>
      <c r="F367" s="25" t="s">
        <v>632</v>
      </c>
      <c r="G367" s="25" t="s">
        <v>633</v>
      </c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6"/>
    </row>
    <row r="368" spans="1:30" x14ac:dyDescent="0.3">
      <c r="A368" s="34"/>
      <c r="B368" s="35"/>
      <c r="C368" s="25" t="s">
        <v>634</v>
      </c>
      <c r="D368" s="25" t="s">
        <v>397</v>
      </c>
      <c r="E368" s="25" t="s">
        <v>688</v>
      </c>
      <c r="F368" s="25" t="s">
        <v>809</v>
      </c>
      <c r="G368" s="25" t="s">
        <v>633</v>
      </c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6"/>
    </row>
    <row r="369" spans="1:30" x14ac:dyDescent="0.3">
      <c r="A369" s="34"/>
      <c r="B369" s="35"/>
      <c r="C369" s="25" t="s">
        <v>637</v>
      </c>
      <c r="D369" s="25" t="s">
        <v>398</v>
      </c>
      <c r="E369" s="25" t="s">
        <v>641</v>
      </c>
      <c r="F369" s="25" t="s">
        <v>632</v>
      </c>
      <c r="G369" s="25" t="s">
        <v>633</v>
      </c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6"/>
    </row>
    <row r="370" spans="1:30" x14ac:dyDescent="0.3">
      <c r="A370" s="34"/>
      <c r="B370" s="37"/>
      <c r="C370" s="25" t="s">
        <v>642</v>
      </c>
      <c r="D370" s="25" t="s">
        <v>134</v>
      </c>
      <c r="E370" s="25" t="s">
        <v>725</v>
      </c>
      <c r="F370" s="25" t="s">
        <v>763</v>
      </c>
      <c r="G370" s="25" t="s">
        <v>633</v>
      </c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6"/>
    </row>
    <row r="371" spans="1:30" x14ac:dyDescent="0.3">
      <c r="A371" s="34"/>
      <c r="B371" s="25" t="s">
        <v>626</v>
      </c>
      <c r="C371" s="25" t="s">
        <v>626</v>
      </c>
      <c r="D371" s="25" t="s">
        <v>929</v>
      </c>
      <c r="E371" s="25" t="s">
        <v>677</v>
      </c>
      <c r="F371" s="25" t="s">
        <v>678</v>
      </c>
      <c r="G371" s="25" t="s">
        <v>650</v>
      </c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6"/>
    </row>
    <row r="372" spans="1:30" x14ac:dyDescent="0.3">
      <c r="A372" s="34"/>
      <c r="B372" s="25" t="s">
        <v>626</v>
      </c>
      <c r="C372" s="25" t="s">
        <v>626</v>
      </c>
      <c r="D372" s="25" t="s">
        <v>930</v>
      </c>
      <c r="E372" s="25" t="s">
        <v>666</v>
      </c>
      <c r="F372" s="25" t="s">
        <v>667</v>
      </c>
      <c r="G372" s="25" t="s">
        <v>650</v>
      </c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6"/>
    </row>
    <row r="373" spans="1:30" x14ac:dyDescent="0.3">
      <c r="A373" s="34"/>
      <c r="B373" s="25" t="s">
        <v>931</v>
      </c>
      <c r="C373" s="25" t="s">
        <v>652</v>
      </c>
      <c r="D373" s="25" t="s">
        <v>152</v>
      </c>
      <c r="E373" s="25" t="s">
        <v>621</v>
      </c>
      <c r="F373" s="25" t="s">
        <v>653</v>
      </c>
      <c r="G373" s="25" t="s">
        <v>650</v>
      </c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6"/>
    </row>
    <row r="374" spans="1:30" x14ac:dyDescent="0.3">
      <c r="A374" s="34"/>
      <c r="B374" s="25" t="s">
        <v>876</v>
      </c>
      <c r="C374" s="25" t="s">
        <v>630</v>
      </c>
      <c r="D374" s="25" t="s">
        <v>188</v>
      </c>
      <c r="E374" s="25" t="s">
        <v>631</v>
      </c>
      <c r="F374" s="25" t="s">
        <v>632</v>
      </c>
      <c r="G374" s="25" t="s">
        <v>650</v>
      </c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6"/>
    </row>
    <row r="375" spans="1:30" x14ac:dyDescent="0.3">
      <c r="A375" s="34"/>
      <c r="B375" s="25" t="s">
        <v>932</v>
      </c>
      <c r="C375" s="25" t="s">
        <v>645</v>
      </c>
      <c r="D375" s="25" t="s">
        <v>398</v>
      </c>
      <c r="E375" s="25" t="s">
        <v>641</v>
      </c>
      <c r="F375" s="25" t="s">
        <v>632</v>
      </c>
      <c r="G375" s="25" t="s">
        <v>650</v>
      </c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6"/>
    </row>
    <row r="376" spans="1:30" x14ac:dyDescent="0.3">
      <c r="A376" s="34"/>
      <c r="B376" s="25" t="s">
        <v>813</v>
      </c>
      <c r="C376" s="25" t="s">
        <v>652</v>
      </c>
      <c r="D376" s="25" t="s">
        <v>397</v>
      </c>
      <c r="E376" s="25" t="s">
        <v>688</v>
      </c>
      <c r="F376" s="25" t="s">
        <v>809</v>
      </c>
      <c r="G376" s="25" t="s">
        <v>650</v>
      </c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6"/>
    </row>
    <row r="377" spans="1:30" ht="15" thickBot="1" x14ac:dyDescent="0.35">
      <c r="A377" s="38"/>
      <c r="B377" s="39" t="s">
        <v>769</v>
      </c>
      <c r="C377" s="39" t="s">
        <v>630</v>
      </c>
      <c r="D377" s="39" t="s">
        <v>134</v>
      </c>
      <c r="E377" s="39" t="s">
        <v>725</v>
      </c>
      <c r="F377" s="39" t="s">
        <v>763</v>
      </c>
      <c r="G377" s="39" t="s">
        <v>650</v>
      </c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1"/>
    </row>
    <row r="378" spans="1:30" x14ac:dyDescent="0.3">
      <c r="A378" s="30" t="s">
        <v>253</v>
      </c>
      <c r="B378" s="31" t="s">
        <v>933</v>
      </c>
      <c r="C378" s="32" t="s">
        <v>620</v>
      </c>
      <c r="D378" s="32" t="s">
        <v>254</v>
      </c>
      <c r="E378" s="32" t="s">
        <v>621</v>
      </c>
      <c r="F378" s="32"/>
      <c r="G378" s="32" t="s">
        <v>622</v>
      </c>
      <c r="H378" s="31" t="s">
        <v>623</v>
      </c>
      <c r="I378" s="31">
        <v>40</v>
      </c>
      <c r="J378" s="31" t="s">
        <v>626</v>
      </c>
      <c r="K378" s="31" t="s">
        <v>105</v>
      </c>
      <c r="L378" s="31" t="s">
        <v>624</v>
      </c>
      <c r="M378" s="31" t="s">
        <v>624</v>
      </c>
      <c r="N378" s="31" t="s">
        <v>624</v>
      </c>
      <c r="O378" s="31" t="s">
        <v>624</v>
      </c>
      <c r="P378" s="31" t="s">
        <v>624</v>
      </c>
      <c r="Q378" s="31" t="s">
        <v>624</v>
      </c>
      <c r="R378" s="31" t="s">
        <v>625</v>
      </c>
      <c r="S378" s="31" t="s">
        <v>625</v>
      </c>
      <c r="T378" s="31" t="s">
        <v>625</v>
      </c>
      <c r="U378" s="31" t="s">
        <v>625</v>
      </c>
      <c r="V378" s="31" t="s">
        <v>626</v>
      </c>
      <c r="W378" s="31" t="s">
        <v>625</v>
      </c>
      <c r="X378" s="31" t="s">
        <v>625</v>
      </c>
      <c r="Y378" s="31" t="s">
        <v>626</v>
      </c>
      <c r="Z378" s="31" t="s">
        <v>626</v>
      </c>
      <c r="AA378" s="31" t="s">
        <v>625</v>
      </c>
      <c r="AB378" s="31" t="s">
        <v>627</v>
      </c>
      <c r="AC378" s="31" t="s">
        <v>628</v>
      </c>
      <c r="AD378" s="33" t="s">
        <v>629</v>
      </c>
    </row>
    <row r="379" spans="1:30" x14ac:dyDescent="0.3">
      <c r="A379" s="34"/>
      <c r="B379" s="35"/>
      <c r="C379" s="25" t="s">
        <v>630</v>
      </c>
      <c r="D379" s="25" t="s">
        <v>147</v>
      </c>
      <c r="E379" s="25" t="s">
        <v>631</v>
      </c>
      <c r="F379" s="25" t="s">
        <v>632</v>
      </c>
      <c r="G379" s="25" t="s">
        <v>633</v>
      </c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6"/>
    </row>
    <row r="380" spans="1:30" x14ac:dyDescent="0.3">
      <c r="A380" s="34"/>
      <c r="B380" s="37"/>
      <c r="C380" s="25" t="s">
        <v>642</v>
      </c>
      <c r="D380" s="25" t="s">
        <v>255</v>
      </c>
      <c r="E380" s="25" t="s">
        <v>631</v>
      </c>
      <c r="F380" s="25" t="s">
        <v>632</v>
      </c>
      <c r="G380" s="25" t="s">
        <v>633</v>
      </c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6"/>
    </row>
    <row r="381" spans="1:30" x14ac:dyDescent="0.3">
      <c r="A381" s="34"/>
      <c r="B381" s="25" t="s">
        <v>651</v>
      </c>
      <c r="C381" s="25" t="s">
        <v>634</v>
      </c>
      <c r="D381" s="25" t="s">
        <v>256</v>
      </c>
      <c r="E381" s="25" t="s">
        <v>621</v>
      </c>
      <c r="F381" s="25" t="s">
        <v>653</v>
      </c>
      <c r="G381" s="25" t="s">
        <v>650</v>
      </c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6"/>
    </row>
    <row r="382" spans="1:30" x14ac:dyDescent="0.3">
      <c r="A382" s="34"/>
      <c r="B382" s="25" t="s">
        <v>907</v>
      </c>
      <c r="C382" s="25" t="s">
        <v>634</v>
      </c>
      <c r="D382" s="25" t="s">
        <v>147</v>
      </c>
      <c r="E382" s="25" t="s">
        <v>631</v>
      </c>
      <c r="F382" s="25" t="s">
        <v>632</v>
      </c>
      <c r="G382" s="25" t="s">
        <v>650</v>
      </c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6"/>
    </row>
    <row r="383" spans="1:30" ht="15" thickBot="1" x14ac:dyDescent="0.35">
      <c r="A383" s="38"/>
      <c r="B383" s="39" t="s">
        <v>796</v>
      </c>
      <c r="C383" s="39" t="s">
        <v>630</v>
      </c>
      <c r="D383" s="39" t="s">
        <v>255</v>
      </c>
      <c r="E383" s="39" t="s">
        <v>631</v>
      </c>
      <c r="F383" s="39" t="s">
        <v>632</v>
      </c>
      <c r="G383" s="39" t="s">
        <v>650</v>
      </c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1"/>
    </row>
    <row r="384" spans="1:30" x14ac:dyDescent="0.3">
      <c r="A384" s="30" t="s">
        <v>248</v>
      </c>
      <c r="B384" s="31" t="s">
        <v>934</v>
      </c>
      <c r="C384" s="32" t="s">
        <v>620</v>
      </c>
      <c r="D384" s="32" t="s">
        <v>249</v>
      </c>
      <c r="E384" s="32" t="s">
        <v>621</v>
      </c>
      <c r="F384" s="32"/>
      <c r="G384" s="32" t="s">
        <v>622</v>
      </c>
      <c r="H384" s="31" t="s">
        <v>702</v>
      </c>
      <c r="I384" s="31">
        <v>39</v>
      </c>
      <c r="J384" s="31">
        <v>19</v>
      </c>
      <c r="K384" s="31" t="s">
        <v>105</v>
      </c>
      <c r="L384" s="31" t="s">
        <v>624</v>
      </c>
      <c r="M384" s="31" t="s">
        <v>624</v>
      </c>
      <c r="N384" s="31" t="s">
        <v>624</v>
      </c>
      <c r="O384" s="31" t="s">
        <v>624</v>
      </c>
      <c r="P384" s="31" t="s">
        <v>624</v>
      </c>
      <c r="Q384" s="31" t="s">
        <v>624</v>
      </c>
      <c r="R384" s="31" t="s">
        <v>625</v>
      </c>
      <c r="S384" s="31" t="s">
        <v>625</v>
      </c>
      <c r="T384" s="31" t="s">
        <v>625</v>
      </c>
      <c r="U384" s="31" t="s">
        <v>625</v>
      </c>
      <c r="V384" s="31" t="s">
        <v>626</v>
      </c>
      <c r="W384" s="31" t="s">
        <v>625</v>
      </c>
      <c r="X384" s="31" t="s">
        <v>625</v>
      </c>
      <c r="Y384" s="31" t="s">
        <v>625</v>
      </c>
      <c r="Z384" s="31" t="s">
        <v>626</v>
      </c>
      <c r="AA384" s="31" t="s">
        <v>625</v>
      </c>
      <c r="AB384" s="31" t="s">
        <v>627</v>
      </c>
      <c r="AC384" s="31" t="s">
        <v>628</v>
      </c>
      <c r="AD384" s="33" t="s">
        <v>706</v>
      </c>
    </row>
    <row r="385" spans="1:30" x14ac:dyDescent="0.3">
      <c r="A385" s="34"/>
      <c r="B385" s="35"/>
      <c r="C385" s="25" t="s">
        <v>630</v>
      </c>
      <c r="D385" s="25" t="s">
        <v>77</v>
      </c>
      <c r="E385" s="25" t="s">
        <v>631</v>
      </c>
      <c r="F385" s="25" t="s">
        <v>632</v>
      </c>
      <c r="G385" s="25" t="s">
        <v>633</v>
      </c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6"/>
    </row>
    <row r="386" spans="1:30" x14ac:dyDescent="0.3">
      <c r="A386" s="34"/>
      <c r="B386" s="35"/>
      <c r="C386" s="25" t="s">
        <v>637</v>
      </c>
      <c r="D386" s="25" t="s">
        <v>79</v>
      </c>
      <c r="E386" s="25" t="s">
        <v>638</v>
      </c>
      <c r="F386" s="25" t="s">
        <v>639</v>
      </c>
      <c r="G386" s="25" t="s">
        <v>633</v>
      </c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6"/>
    </row>
    <row r="387" spans="1:30" x14ac:dyDescent="0.3">
      <c r="A387" s="34"/>
      <c r="B387" s="37"/>
      <c r="C387" s="25" t="s">
        <v>642</v>
      </c>
      <c r="D387" s="25" t="s">
        <v>250</v>
      </c>
      <c r="E387" s="25" t="s">
        <v>631</v>
      </c>
      <c r="F387" s="25" t="s">
        <v>632</v>
      </c>
      <c r="G387" s="25" t="s">
        <v>633</v>
      </c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6"/>
    </row>
    <row r="388" spans="1:30" x14ac:dyDescent="0.3">
      <c r="A388" s="34"/>
      <c r="B388" s="25" t="s">
        <v>668</v>
      </c>
      <c r="C388" s="25" t="s">
        <v>634</v>
      </c>
      <c r="D388" s="25" t="s">
        <v>251</v>
      </c>
      <c r="E388" s="25" t="s">
        <v>621</v>
      </c>
      <c r="F388" s="25" t="s">
        <v>653</v>
      </c>
      <c r="G388" s="25" t="s">
        <v>650</v>
      </c>
      <c r="H388" s="42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6"/>
    </row>
    <row r="389" spans="1:30" x14ac:dyDescent="0.3">
      <c r="A389" s="34"/>
      <c r="B389" s="25" t="s">
        <v>913</v>
      </c>
      <c r="C389" s="25" t="s">
        <v>652</v>
      </c>
      <c r="D389" s="25" t="s">
        <v>77</v>
      </c>
      <c r="E389" s="25" t="s">
        <v>631</v>
      </c>
      <c r="F389" s="25" t="s">
        <v>632</v>
      </c>
      <c r="G389" s="25" t="s">
        <v>650</v>
      </c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6"/>
    </row>
    <row r="390" spans="1:30" x14ac:dyDescent="0.3">
      <c r="A390" s="34"/>
      <c r="B390" s="25" t="s">
        <v>804</v>
      </c>
      <c r="C390" s="25" t="s">
        <v>652</v>
      </c>
      <c r="D390" s="25" t="s">
        <v>250</v>
      </c>
      <c r="E390" s="25" t="s">
        <v>631</v>
      </c>
      <c r="F390" s="25" t="s">
        <v>632</v>
      </c>
      <c r="G390" s="25" t="s">
        <v>650</v>
      </c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6"/>
    </row>
    <row r="391" spans="1:30" ht="15" thickBot="1" x14ac:dyDescent="0.35">
      <c r="A391" s="38"/>
      <c r="B391" s="39" t="s">
        <v>698</v>
      </c>
      <c r="C391" s="39" t="s">
        <v>645</v>
      </c>
      <c r="D391" s="39" t="s">
        <v>79</v>
      </c>
      <c r="E391" s="39" t="s">
        <v>638</v>
      </c>
      <c r="F391" s="39" t="s">
        <v>639</v>
      </c>
      <c r="G391" s="39" t="s">
        <v>650</v>
      </c>
      <c r="H391" s="39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1"/>
    </row>
    <row r="392" spans="1:30" x14ac:dyDescent="0.3">
      <c r="A392" s="30" t="s">
        <v>209</v>
      </c>
      <c r="B392" s="31" t="s">
        <v>935</v>
      </c>
      <c r="C392" s="32" t="s">
        <v>620</v>
      </c>
      <c r="D392" s="32" t="s">
        <v>210</v>
      </c>
      <c r="E392" s="32" t="s">
        <v>621</v>
      </c>
      <c r="F392" s="32"/>
      <c r="G392" s="32" t="s">
        <v>622</v>
      </c>
      <c r="H392" s="31" t="s">
        <v>772</v>
      </c>
      <c r="I392" s="31">
        <v>30</v>
      </c>
      <c r="J392" s="31">
        <v>17</v>
      </c>
      <c r="K392" s="31" t="s">
        <v>105</v>
      </c>
      <c r="L392" s="31" t="s">
        <v>624</v>
      </c>
      <c r="M392" s="31" t="s">
        <v>624</v>
      </c>
      <c r="N392" s="31" t="s">
        <v>624</v>
      </c>
      <c r="O392" s="31" t="s">
        <v>624</v>
      </c>
      <c r="P392" s="31" t="s">
        <v>624</v>
      </c>
      <c r="Q392" s="31" t="s">
        <v>624</v>
      </c>
      <c r="R392" s="31" t="s">
        <v>625</v>
      </c>
      <c r="S392" s="31" t="s">
        <v>625</v>
      </c>
      <c r="T392" s="31" t="s">
        <v>625</v>
      </c>
      <c r="U392" s="31" t="s">
        <v>625</v>
      </c>
      <c r="V392" s="31" t="s">
        <v>625</v>
      </c>
      <c r="W392" s="31" t="s">
        <v>625</v>
      </c>
      <c r="X392" s="31" t="s">
        <v>625</v>
      </c>
      <c r="Y392" s="31" t="s">
        <v>625</v>
      </c>
      <c r="Z392" s="31" t="s">
        <v>626</v>
      </c>
      <c r="AA392" s="31" t="s">
        <v>625</v>
      </c>
      <c r="AB392" s="31" t="s">
        <v>627</v>
      </c>
      <c r="AC392" s="31" t="s">
        <v>628</v>
      </c>
      <c r="AD392" s="33" t="s">
        <v>775</v>
      </c>
    </row>
    <row r="393" spans="1:30" x14ac:dyDescent="0.3">
      <c r="A393" s="34"/>
      <c r="B393" s="35"/>
      <c r="C393" s="25" t="s">
        <v>630</v>
      </c>
      <c r="D393" s="25" t="s">
        <v>64</v>
      </c>
      <c r="E393" s="25" t="s">
        <v>631</v>
      </c>
      <c r="F393" s="25" t="s">
        <v>632</v>
      </c>
      <c r="G393" s="25" t="s">
        <v>633</v>
      </c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6"/>
    </row>
    <row r="394" spans="1:30" x14ac:dyDescent="0.3">
      <c r="A394" s="34"/>
      <c r="B394" s="35"/>
      <c r="C394" s="25" t="s">
        <v>634</v>
      </c>
      <c r="D394" s="25" t="s">
        <v>211</v>
      </c>
      <c r="E394" s="25" t="s">
        <v>725</v>
      </c>
      <c r="F394" s="25" t="s">
        <v>823</v>
      </c>
      <c r="G394" s="25" t="s">
        <v>633</v>
      </c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6"/>
    </row>
    <row r="395" spans="1:30" x14ac:dyDescent="0.3">
      <c r="A395" s="34"/>
      <c r="B395" s="37"/>
      <c r="C395" s="25" t="s">
        <v>637</v>
      </c>
      <c r="D395" s="25" t="s">
        <v>212</v>
      </c>
      <c r="E395" s="25" t="s">
        <v>643</v>
      </c>
      <c r="F395" s="25" t="s">
        <v>823</v>
      </c>
      <c r="G395" s="25" t="s">
        <v>633</v>
      </c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6"/>
    </row>
    <row r="396" spans="1:30" x14ac:dyDescent="0.3">
      <c r="A396" s="34"/>
      <c r="B396" s="25" t="s">
        <v>626</v>
      </c>
      <c r="C396" s="25" t="s">
        <v>626</v>
      </c>
      <c r="D396" s="25" t="s">
        <v>213</v>
      </c>
      <c r="E396" s="25" t="s">
        <v>707</v>
      </c>
      <c r="F396" s="25" t="s">
        <v>936</v>
      </c>
      <c r="G396" s="25" t="s">
        <v>650</v>
      </c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6"/>
    </row>
    <row r="397" spans="1:30" x14ac:dyDescent="0.3">
      <c r="A397" s="34"/>
      <c r="B397" s="25" t="s">
        <v>729</v>
      </c>
      <c r="C397" s="25" t="s">
        <v>652</v>
      </c>
      <c r="D397" s="25" t="s">
        <v>214</v>
      </c>
      <c r="E397" s="25" t="s">
        <v>730</v>
      </c>
      <c r="F397" s="25" t="s">
        <v>731</v>
      </c>
      <c r="G397" s="25" t="s">
        <v>650</v>
      </c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6"/>
    </row>
    <row r="398" spans="1:30" x14ac:dyDescent="0.3">
      <c r="A398" s="34"/>
      <c r="B398" s="25" t="s">
        <v>794</v>
      </c>
      <c r="C398" s="25" t="s">
        <v>642</v>
      </c>
      <c r="D398" s="25" t="s">
        <v>215</v>
      </c>
      <c r="E398" s="25" t="s">
        <v>783</v>
      </c>
      <c r="F398" s="25" t="s">
        <v>731</v>
      </c>
      <c r="G398" s="25" t="s">
        <v>650</v>
      </c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6"/>
    </row>
    <row r="399" spans="1:30" x14ac:dyDescent="0.3">
      <c r="A399" s="34"/>
      <c r="B399" s="25" t="s">
        <v>680</v>
      </c>
      <c r="C399" s="25" t="s">
        <v>634</v>
      </c>
      <c r="D399" s="25" t="s">
        <v>216</v>
      </c>
      <c r="E399" s="25" t="s">
        <v>621</v>
      </c>
      <c r="F399" s="25" t="s">
        <v>653</v>
      </c>
      <c r="G399" s="25" t="s">
        <v>650</v>
      </c>
      <c r="H399" s="42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6"/>
    </row>
    <row r="400" spans="1:30" x14ac:dyDescent="0.3">
      <c r="A400" s="34"/>
      <c r="B400" s="25" t="s">
        <v>918</v>
      </c>
      <c r="C400" s="25" t="s">
        <v>630</v>
      </c>
      <c r="D400" s="25" t="s">
        <v>64</v>
      </c>
      <c r="E400" s="25" t="s">
        <v>631</v>
      </c>
      <c r="F400" s="25" t="s">
        <v>632</v>
      </c>
      <c r="G400" s="25" t="s">
        <v>650</v>
      </c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6"/>
    </row>
    <row r="401" spans="1:30" x14ac:dyDescent="0.3">
      <c r="A401" s="34"/>
      <c r="B401" s="25" t="s">
        <v>685</v>
      </c>
      <c r="C401" s="25" t="s">
        <v>634</v>
      </c>
      <c r="D401" s="25" t="s">
        <v>217</v>
      </c>
      <c r="E401" s="25" t="s">
        <v>659</v>
      </c>
      <c r="F401" s="25" t="s">
        <v>686</v>
      </c>
      <c r="G401" s="25" t="s">
        <v>650</v>
      </c>
      <c r="H401" s="42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6"/>
    </row>
    <row r="402" spans="1:30" x14ac:dyDescent="0.3">
      <c r="A402" s="34"/>
      <c r="B402" s="25" t="s">
        <v>937</v>
      </c>
      <c r="C402" s="25" t="s">
        <v>630</v>
      </c>
      <c r="D402" s="25" t="s">
        <v>212</v>
      </c>
      <c r="E402" s="25" t="s">
        <v>643</v>
      </c>
      <c r="F402" s="25" t="s">
        <v>823</v>
      </c>
      <c r="G402" s="25" t="s">
        <v>650</v>
      </c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6"/>
    </row>
    <row r="403" spans="1:30" ht="15" thickBot="1" x14ac:dyDescent="0.35">
      <c r="A403" s="38"/>
      <c r="B403" s="39" t="s">
        <v>914</v>
      </c>
      <c r="C403" s="39" t="s">
        <v>637</v>
      </c>
      <c r="D403" s="39" t="s">
        <v>211</v>
      </c>
      <c r="E403" s="39" t="s">
        <v>725</v>
      </c>
      <c r="F403" s="39" t="s">
        <v>823</v>
      </c>
      <c r="G403" s="39" t="s">
        <v>650</v>
      </c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1"/>
    </row>
    <row r="404" spans="1:30" x14ac:dyDescent="0.3">
      <c r="A404" s="30" t="s">
        <v>202</v>
      </c>
      <c r="B404" s="31" t="s">
        <v>938</v>
      </c>
      <c r="C404" s="32" t="s">
        <v>620</v>
      </c>
      <c r="D404" s="32" t="s">
        <v>203</v>
      </c>
      <c r="E404" s="32" t="s">
        <v>621</v>
      </c>
      <c r="F404" s="32"/>
      <c r="G404" s="32" t="s">
        <v>622</v>
      </c>
      <c r="H404" s="31" t="s">
        <v>772</v>
      </c>
      <c r="I404" s="31">
        <v>29</v>
      </c>
      <c r="J404" s="31">
        <v>16</v>
      </c>
      <c r="K404" s="31" t="s">
        <v>105</v>
      </c>
      <c r="L404" s="31" t="s">
        <v>624</v>
      </c>
      <c r="M404" s="31" t="s">
        <v>624</v>
      </c>
      <c r="N404" s="31" t="s">
        <v>624</v>
      </c>
      <c r="O404" s="31" t="s">
        <v>624</v>
      </c>
      <c r="P404" s="31" t="s">
        <v>624</v>
      </c>
      <c r="Q404" s="31" t="s">
        <v>624</v>
      </c>
      <c r="R404" s="31" t="s">
        <v>625</v>
      </c>
      <c r="S404" s="31" t="s">
        <v>625</v>
      </c>
      <c r="T404" s="31" t="s">
        <v>625</v>
      </c>
      <c r="U404" s="31" t="s">
        <v>625</v>
      </c>
      <c r="V404" s="31" t="s">
        <v>625</v>
      </c>
      <c r="W404" s="31" t="s">
        <v>625</v>
      </c>
      <c r="X404" s="31" t="s">
        <v>625</v>
      </c>
      <c r="Y404" s="31" t="s">
        <v>626</v>
      </c>
      <c r="Z404" s="31" t="s">
        <v>626</v>
      </c>
      <c r="AA404" s="31" t="s">
        <v>625</v>
      </c>
      <c r="AB404" s="31" t="s">
        <v>627</v>
      </c>
      <c r="AC404" s="31" t="s">
        <v>628</v>
      </c>
      <c r="AD404" s="33" t="s">
        <v>939</v>
      </c>
    </row>
    <row r="405" spans="1:30" x14ac:dyDescent="0.3">
      <c r="A405" s="34"/>
      <c r="B405" s="35"/>
      <c r="C405" s="25" t="s">
        <v>630</v>
      </c>
      <c r="D405" s="25" t="s">
        <v>53</v>
      </c>
      <c r="E405" s="25" t="s">
        <v>631</v>
      </c>
      <c r="F405" s="25" t="s">
        <v>632</v>
      </c>
      <c r="G405" s="25" t="s">
        <v>633</v>
      </c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6"/>
    </row>
    <row r="406" spans="1:30" x14ac:dyDescent="0.3">
      <c r="A406" s="34"/>
      <c r="B406" s="35"/>
      <c r="C406" s="25" t="s">
        <v>634</v>
      </c>
      <c r="D406" s="25" t="s">
        <v>204</v>
      </c>
      <c r="E406" s="25" t="s">
        <v>730</v>
      </c>
      <c r="F406" s="25" t="s">
        <v>743</v>
      </c>
      <c r="G406" s="25" t="s">
        <v>633</v>
      </c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6"/>
    </row>
    <row r="407" spans="1:30" x14ac:dyDescent="0.3">
      <c r="A407" s="34"/>
      <c r="B407" s="35"/>
      <c r="C407" s="25" t="s">
        <v>637</v>
      </c>
      <c r="D407" s="25" t="s">
        <v>205</v>
      </c>
      <c r="E407" s="25" t="s">
        <v>659</v>
      </c>
      <c r="F407" s="25" t="s">
        <v>693</v>
      </c>
      <c r="G407" s="25" t="s">
        <v>633</v>
      </c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6"/>
    </row>
    <row r="408" spans="1:30" x14ac:dyDescent="0.3">
      <c r="A408" s="34"/>
      <c r="B408" s="37"/>
      <c r="C408" s="25" t="s">
        <v>711</v>
      </c>
      <c r="D408" s="25" t="s">
        <v>206</v>
      </c>
      <c r="E408" s="25" t="s">
        <v>783</v>
      </c>
      <c r="F408" s="25" t="s">
        <v>743</v>
      </c>
      <c r="G408" s="25" t="s">
        <v>633</v>
      </c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6"/>
    </row>
    <row r="409" spans="1:30" x14ac:dyDescent="0.3">
      <c r="A409" s="34"/>
      <c r="B409" s="25" t="s">
        <v>626</v>
      </c>
      <c r="C409" s="25" t="s">
        <v>626</v>
      </c>
      <c r="D409" s="25" t="s">
        <v>207</v>
      </c>
      <c r="E409" s="25" t="s">
        <v>707</v>
      </c>
      <c r="F409" s="25" t="s">
        <v>936</v>
      </c>
      <c r="G409" s="25" t="s">
        <v>650</v>
      </c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6"/>
    </row>
    <row r="410" spans="1:30" x14ac:dyDescent="0.3">
      <c r="A410" s="34"/>
      <c r="B410" s="25" t="s">
        <v>694</v>
      </c>
      <c r="C410" s="25" t="s">
        <v>634</v>
      </c>
      <c r="D410" s="25" t="s">
        <v>121</v>
      </c>
      <c r="E410" s="25" t="s">
        <v>621</v>
      </c>
      <c r="F410" s="25" t="s">
        <v>653</v>
      </c>
      <c r="G410" s="25" t="s">
        <v>650</v>
      </c>
      <c r="H410" s="42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6"/>
    </row>
    <row r="411" spans="1:30" x14ac:dyDescent="0.3">
      <c r="A411" s="34"/>
      <c r="B411" s="25" t="s">
        <v>844</v>
      </c>
      <c r="C411" s="25" t="s">
        <v>634</v>
      </c>
      <c r="D411" s="25" t="s">
        <v>53</v>
      </c>
      <c r="E411" s="25" t="s">
        <v>631</v>
      </c>
      <c r="F411" s="25" t="s">
        <v>632</v>
      </c>
      <c r="G411" s="25" t="s">
        <v>650</v>
      </c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6"/>
    </row>
    <row r="412" spans="1:30" ht="15" thickBot="1" x14ac:dyDescent="0.35">
      <c r="A412" s="38"/>
      <c r="B412" s="39" t="s">
        <v>700</v>
      </c>
      <c r="C412" s="39" t="s">
        <v>634</v>
      </c>
      <c r="D412" s="39" t="s">
        <v>205</v>
      </c>
      <c r="E412" s="39" t="s">
        <v>659</v>
      </c>
      <c r="F412" s="39" t="s">
        <v>693</v>
      </c>
      <c r="G412" s="39" t="s">
        <v>650</v>
      </c>
      <c r="H412" s="39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1"/>
    </row>
    <row r="413" spans="1:30" x14ac:dyDescent="0.3">
      <c r="A413" s="30" t="s">
        <v>567</v>
      </c>
      <c r="B413" s="31" t="s">
        <v>940</v>
      </c>
      <c r="C413" s="32" t="s">
        <v>620</v>
      </c>
      <c r="D413" s="32" t="s">
        <v>568</v>
      </c>
      <c r="E413" s="32" t="s">
        <v>621</v>
      </c>
      <c r="F413" s="32"/>
      <c r="G413" s="32" t="s">
        <v>622</v>
      </c>
      <c r="H413" s="31" t="s">
        <v>702</v>
      </c>
      <c r="I413" s="31">
        <v>96</v>
      </c>
      <c r="J413" s="31">
        <v>46</v>
      </c>
      <c r="K413" s="31" t="s">
        <v>105</v>
      </c>
      <c r="L413" s="125" t="s">
        <v>1292</v>
      </c>
      <c r="M413" s="31" t="s">
        <v>624</v>
      </c>
      <c r="N413" s="31" t="s">
        <v>941</v>
      </c>
      <c r="O413" s="31" t="s">
        <v>941</v>
      </c>
      <c r="P413" s="31" t="s">
        <v>941</v>
      </c>
      <c r="Q413" s="31" t="s">
        <v>941</v>
      </c>
      <c r="R413" s="31" t="s">
        <v>625</v>
      </c>
      <c r="S413" s="31" t="s">
        <v>703</v>
      </c>
      <c r="T413" s="31" t="s">
        <v>625</v>
      </c>
      <c r="U413" s="31" t="s">
        <v>625</v>
      </c>
      <c r="V413" s="31" t="s">
        <v>626</v>
      </c>
      <c r="W413" s="31" t="s">
        <v>703</v>
      </c>
      <c r="X413" s="31" t="s">
        <v>625</v>
      </c>
      <c r="Y413" s="31" t="s">
        <v>625</v>
      </c>
      <c r="Z413" s="31" t="s">
        <v>626</v>
      </c>
      <c r="AA413" s="31" t="s">
        <v>625</v>
      </c>
      <c r="AB413" s="31" t="s">
        <v>627</v>
      </c>
      <c r="AC413" s="31" t="s">
        <v>942</v>
      </c>
      <c r="AD413" s="33" t="s">
        <v>706</v>
      </c>
    </row>
    <row r="414" spans="1:30" x14ac:dyDescent="0.3">
      <c r="A414" s="34"/>
      <c r="B414" s="35"/>
      <c r="C414" s="25" t="s">
        <v>630</v>
      </c>
      <c r="D414" s="25" t="s">
        <v>312</v>
      </c>
      <c r="E414" s="25" t="s">
        <v>631</v>
      </c>
      <c r="F414" s="25" t="s">
        <v>632</v>
      </c>
      <c r="G414" s="25" t="s">
        <v>633</v>
      </c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6"/>
    </row>
    <row r="415" spans="1:30" x14ac:dyDescent="0.3">
      <c r="A415" s="34"/>
      <c r="B415" s="35"/>
      <c r="C415" s="25" t="s">
        <v>637</v>
      </c>
      <c r="D415" s="25" t="s">
        <v>79</v>
      </c>
      <c r="E415" s="25" t="s">
        <v>638</v>
      </c>
      <c r="F415" s="25" t="s">
        <v>639</v>
      </c>
      <c r="G415" s="25" t="s">
        <v>633</v>
      </c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6"/>
    </row>
    <row r="416" spans="1:30" x14ac:dyDescent="0.3">
      <c r="A416" s="34"/>
      <c r="B416" s="37"/>
      <c r="C416" s="25" t="s">
        <v>711</v>
      </c>
      <c r="D416" s="25" t="s">
        <v>260</v>
      </c>
      <c r="E416" s="25" t="s">
        <v>712</v>
      </c>
      <c r="F416" s="25" t="s">
        <v>943</v>
      </c>
      <c r="G416" s="25" t="s">
        <v>633</v>
      </c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6"/>
    </row>
    <row r="417" spans="1:30" x14ac:dyDescent="0.3">
      <c r="A417" s="34"/>
      <c r="B417" s="25" t="s">
        <v>714</v>
      </c>
      <c r="C417" s="25" t="s">
        <v>634</v>
      </c>
      <c r="D417" s="25" t="s">
        <v>513</v>
      </c>
      <c r="E417" s="25" t="s">
        <v>621</v>
      </c>
      <c r="F417" s="25" t="s">
        <v>653</v>
      </c>
      <c r="G417" s="25" t="s">
        <v>650</v>
      </c>
      <c r="H417" s="42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6"/>
    </row>
    <row r="418" spans="1:30" x14ac:dyDescent="0.3">
      <c r="A418" s="34"/>
      <c r="B418" s="25" t="s">
        <v>861</v>
      </c>
      <c r="C418" s="25" t="s">
        <v>630</v>
      </c>
      <c r="D418" s="25" t="s">
        <v>312</v>
      </c>
      <c r="E418" s="25" t="s">
        <v>631</v>
      </c>
      <c r="F418" s="25" t="s">
        <v>632</v>
      </c>
      <c r="G418" s="25" t="s">
        <v>650</v>
      </c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6"/>
    </row>
    <row r="419" spans="1:30" x14ac:dyDescent="0.3">
      <c r="A419" s="34"/>
      <c r="B419" s="25" t="s">
        <v>698</v>
      </c>
      <c r="C419" s="25" t="s">
        <v>711</v>
      </c>
      <c r="D419" s="25" t="s">
        <v>79</v>
      </c>
      <c r="E419" s="25" t="s">
        <v>638</v>
      </c>
      <c r="F419" s="25" t="s">
        <v>639</v>
      </c>
      <c r="G419" s="25" t="s">
        <v>650</v>
      </c>
      <c r="H419" s="42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6"/>
    </row>
    <row r="420" spans="1:30" x14ac:dyDescent="0.3">
      <c r="A420" s="34"/>
      <c r="B420" s="25" t="s">
        <v>944</v>
      </c>
      <c r="C420" s="25" t="s">
        <v>620</v>
      </c>
      <c r="D420" s="25" t="s">
        <v>569</v>
      </c>
      <c r="E420" s="25" t="s">
        <v>709</v>
      </c>
      <c r="F420" s="25" t="s">
        <v>945</v>
      </c>
      <c r="G420" s="25" t="s">
        <v>650</v>
      </c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6"/>
    </row>
    <row r="421" spans="1:30" ht="15" thickBot="1" x14ac:dyDescent="0.35">
      <c r="A421" s="38"/>
      <c r="B421" s="39" t="s">
        <v>946</v>
      </c>
      <c r="C421" s="39" t="s">
        <v>645</v>
      </c>
      <c r="D421" s="39" t="s">
        <v>260</v>
      </c>
      <c r="E421" s="39" t="s">
        <v>712</v>
      </c>
      <c r="F421" s="39" t="s">
        <v>943</v>
      </c>
      <c r="G421" s="39" t="s">
        <v>650</v>
      </c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1"/>
    </row>
    <row r="422" spans="1:30" x14ac:dyDescent="0.3">
      <c r="A422" s="30" t="s">
        <v>561</v>
      </c>
      <c r="B422" s="31" t="s">
        <v>947</v>
      </c>
      <c r="C422" s="32" t="s">
        <v>620</v>
      </c>
      <c r="D422" s="32" t="s">
        <v>562</v>
      </c>
      <c r="E422" s="32" t="s">
        <v>621</v>
      </c>
      <c r="F422" s="32"/>
      <c r="G422" s="32" t="s">
        <v>622</v>
      </c>
      <c r="H422" s="31" t="s">
        <v>702</v>
      </c>
      <c r="I422" s="31">
        <v>95</v>
      </c>
      <c r="J422" s="31">
        <v>45</v>
      </c>
      <c r="K422" s="31" t="s">
        <v>105</v>
      </c>
      <c r="L422" s="125" t="s">
        <v>1291</v>
      </c>
      <c r="M422" s="31" t="s">
        <v>624</v>
      </c>
      <c r="N422" s="31" t="s">
        <v>565</v>
      </c>
      <c r="O422" s="31" t="s">
        <v>565</v>
      </c>
      <c r="P422" s="31" t="s">
        <v>565</v>
      </c>
      <c r="Q422" s="31" t="s">
        <v>565</v>
      </c>
      <c r="R422" s="31" t="s">
        <v>625</v>
      </c>
      <c r="S422" s="31" t="s">
        <v>703</v>
      </c>
      <c r="T422" s="31" t="s">
        <v>625</v>
      </c>
      <c r="U422" s="31" t="s">
        <v>625</v>
      </c>
      <c r="V422" s="31" t="s">
        <v>626</v>
      </c>
      <c r="W422" s="31" t="s">
        <v>703</v>
      </c>
      <c r="X422" s="31" t="s">
        <v>703</v>
      </c>
      <c r="Y422" s="31" t="s">
        <v>625</v>
      </c>
      <c r="Z422" s="31" t="s">
        <v>626</v>
      </c>
      <c r="AA422" s="31" t="s">
        <v>625</v>
      </c>
      <c r="AB422" s="31" t="s">
        <v>627</v>
      </c>
      <c r="AC422" s="31" t="s">
        <v>948</v>
      </c>
      <c r="AD422" s="33" t="s">
        <v>706</v>
      </c>
    </row>
    <row r="423" spans="1:30" x14ac:dyDescent="0.3">
      <c r="A423" s="34"/>
      <c r="B423" s="35"/>
      <c r="C423" s="25" t="s">
        <v>630</v>
      </c>
      <c r="D423" s="25" t="s">
        <v>66</v>
      </c>
      <c r="E423" s="25" t="s">
        <v>631</v>
      </c>
      <c r="F423" s="25" t="s">
        <v>632</v>
      </c>
      <c r="G423" s="25" t="s">
        <v>633</v>
      </c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6"/>
    </row>
    <row r="424" spans="1:30" x14ac:dyDescent="0.3">
      <c r="A424" s="34"/>
      <c r="B424" s="37"/>
      <c r="C424" s="25" t="s">
        <v>637</v>
      </c>
      <c r="D424" s="25" t="s">
        <v>91</v>
      </c>
      <c r="E424" s="25" t="s">
        <v>638</v>
      </c>
      <c r="F424" s="25" t="s">
        <v>639</v>
      </c>
      <c r="G424" s="25" t="s">
        <v>633</v>
      </c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6"/>
    </row>
    <row r="425" spans="1:30" x14ac:dyDescent="0.3">
      <c r="A425" s="34"/>
      <c r="B425" s="25" t="s">
        <v>626</v>
      </c>
      <c r="C425" s="25" t="s">
        <v>626</v>
      </c>
      <c r="D425" s="25" t="s">
        <v>563</v>
      </c>
      <c r="E425" s="25" t="s">
        <v>677</v>
      </c>
      <c r="F425" s="25" t="s">
        <v>649</v>
      </c>
      <c r="G425" s="25" t="s">
        <v>650</v>
      </c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6"/>
    </row>
    <row r="426" spans="1:30" x14ac:dyDescent="0.3">
      <c r="A426" s="34"/>
      <c r="B426" s="25" t="s">
        <v>722</v>
      </c>
      <c r="C426" s="25" t="s">
        <v>634</v>
      </c>
      <c r="D426" s="25" t="s">
        <v>564</v>
      </c>
      <c r="E426" s="25" t="s">
        <v>621</v>
      </c>
      <c r="F426" s="25" t="s">
        <v>653</v>
      </c>
      <c r="G426" s="25" t="s">
        <v>650</v>
      </c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6"/>
    </row>
    <row r="427" spans="1:30" x14ac:dyDescent="0.3">
      <c r="A427" s="34"/>
      <c r="B427" s="25" t="s">
        <v>949</v>
      </c>
      <c r="C427" s="25" t="s">
        <v>630</v>
      </c>
      <c r="D427" s="25" t="s">
        <v>66</v>
      </c>
      <c r="E427" s="25" t="s">
        <v>631</v>
      </c>
      <c r="F427" s="25" t="s">
        <v>632</v>
      </c>
      <c r="G427" s="25" t="s">
        <v>650</v>
      </c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6"/>
    </row>
    <row r="428" spans="1:30" x14ac:dyDescent="0.3">
      <c r="A428" s="34"/>
      <c r="B428" s="25" t="s">
        <v>684</v>
      </c>
      <c r="C428" s="25" t="s">
        <v>645</v>
      </c>
      <c r="D428" s="25" t="s">
        <v>91</v>
      </c>
      <c r="E428" s="25" t="s">
        <v>638</v>
      </c>
      <c r="F428" s="25" t="s">
        <v>639</v>
      </c>
      <c r="G428" s="25" t="s">
        <v>650</v>
      </c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6"/>
    </row>
    <row r="429" spans="1:30" x14ac:dyDescent="0.3">
      <c r="A429" s="34"/>
      <c r="B429" s="25" t="s">
        <v>950</v>
      </c>
      <c r="C429" s="25" t="s">
        <v>620</v>
      </c>
      <c r="D429" s="25" t="s">
        <v>565</v>
      </c>
      <c r="E429" s="25" t="s">
        <v>709</v>
      </c>
      <c r="F429" s="25" t="s">
        <v>951</v>
      </c>
      <c r="G429" s="25" t="s">
        <v>650</v>
      </c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6"/>
    </row>
    <row r="430" spans="1:30" ht="15" thickBot="1" x14ac:dyDescent="0.35">
      <c r="A430" s="38"/>
      <c r="B430" s="39" t="s">
        <v>952</v>
      </c>
      <c r="C430" s="39" t="s">
        <v>630</v>
      </c>
      <c r="D430" s="39" t="s">
        <v>238</v>
      </c>
      <c r="E430" s="39" t="s">
        <v>712</v>
      </c>
      <c r="F430" s="39" t="s">
        <v>900</v>
      </c>
      <c r="G430" s="39" t="s">
        <v>650</v>
      </c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1"/>
    </row>
    <row r="431" spans="1:30" x14ac:dyDescent="0.3">
      <c r="A431" s="30" t="s">
        <v>504</v>
      </c>
      <c r="B431" s="31" t="s">
        <v>953</v>
      </c>
      <c r="C431" s="32" t="s">
        <v>620</v>
      </c>
      <c r="D431" s="32" t="s">
        <v>505</v>
      </c>
      <c r="E431" s="32" t="s">
        <v>621</v>
      </c>
      <c r="F431" s="32"/>
      <c r="G431" s="32" t="s">
        <v>622</v>
      </c>
      <c r="H431" s="31" t="s">
        <v>702</v>
      </c>
      <c r="I431" s="31">
        <v>81</v>
      </c>
      <c r="J431" s="31">
        <v>40</v>
      </c>
      <c r="K431" s="31" t="s">
        <v>105</v>
      </c>
      <c r="L431" s="31" t="s">
        <v>624</v>
      </c>
      <c r="M431" s="31" t="s">
        <v>624</v>
      </c>
      <c r="N431" s="31" t="s">
        <v>624</v>
      </c>
      <c r="O431" s="31" t="s">
        <v>624</v>
      </c>
      <c r="P431" s="31" t="s">
        <v>624</v>
      </c>
      <c r="Q431" s="31" t="s">
        <v>624</v>
      </c>
      <c r="R431" s="31" t="s">
        <v>625</v>
      </c>
      <c r="S431" s="31" t="s">
        <v>625</v>
      </c>
      <c r="T431" s="31" t="s">
        <v>625</v>
      </c>
      <c r="U431" s="31" t="s">
        <v>625</v>
      </c>
      <c r="V431" s="31" t="s">
        <v>626</v>
      </c>
      <c r="W431" s="31" t="s">
        <v>625</v>
      </c>
      <c r="X431" s="31" t="s">
        <v>625</v>
      </c>
      <c r="Y431" s="31" t="s">
        <v>625</v>
      </c>
      <c r="Z431" s="31" t="s">
        <v>626</v>
      </c>
      <c r="AA431" s="31" t="s">
        <v>625</v>
      </c>
      <c r="AB431" s="31" t="s">
        <v>627</v>
      </c>
      <c r="AC431" s="31" t="s">
        <v>628</v>
      </c>
      <c r="AD431" s="33" t="s">
        <v>706</v>
      </c>
    </row>
    <row r="432" spans="1:30" x14ac:dyDescent="0.3">
      <c r="A432" s="34"/>
      <c r="B432" s="35"/>
      <c r="C432" s="25" t="s">
        <v>652</v>
      </c>
      <c r="D432" s="25" t="s">
        <v>266</v>
      </c>
      <c r="E432" s="25" t="s">
        <v>712</v>
      </c>
      <c r="F432" s="25" t="s">
        <v>713</v>
      </c>
      <c r="G432" s="25" t="s">
        <v>633</v>
      </c>
      <c r="H432" s="42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6"/>
    </row>
    <row r="433" spans="1:30" x14ac:dyDescent="0.3">
      <c r="A433" s="34"/>
      <c r="B433" s="35"/>
      <c r="C433" s="25" t="s">
        <v>630</v>
      </c>
      <c r="D433" s="25" t="s">
        <v>160</v>
      </c>
      <c r="E433" s="25" t="s">
        <v>638</v>
      </c>
      <c r="F433" s="25" t="s">
        <v>639</v>
      </c>
      <c r="G433" s="25" t="s">
        <v>633</v>
      </c>
      <c r="H433" s="42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6"/>
    </row>
    <row r="434" spans="1:30" x14ac:dyDescent="0.3">
      <c r="A434" s="34"/>
      <c r="B434" s="35"/>
      <c r="C434" s="25" t="s">
        <v>634</v>
      </c>
      <c r="D434" s="25" t="s">
        <v>387</v>
      </c>
      <c r="E434" s="25" t="s">
        <v>688</v>
      </c>
      <c r="F434" s="25" t="s">
        <v>724</v>
      </c>
      <c r="G434" s="25" t="s">
        <v>633</v>
      </c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6"/>
    </row>
    <row r="435" spans="1:30" x14ac:dyDescent="0.3">
      <c r="A435" s="34"/>
      <c r="B435" s="35"/>
      <c r="C435" s="25" t="s">
        <v>637</v>
      </c>
      <c r="D435" s="25" t="s">
        <v>414</v>
      </c>
      <c r="E435" s="25" t="s">
        <v>635</v>
      </c>
      <c r="F435" s="25" t="s">
        <v>636</v>
      </c>
      <c r="G435" s="25" t="s">
        <v>633</v>
      </c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6"/>
    </row>
    <row r="436" spans="1:30" x14ac:dyDescent="0.3">
      <c r="A436" s="34"/>
      <c r="B436" s="35"/>
      <c r="C436" s="25" t="s">
        <v>640</v>
      </c>
      <c r="D436" s="25" t="s">
        <v>362</v>
      </c>
      <c r="E436" s="25" t="s">
        <v>641</v>
      </c>
      <c r="F436" s="25" t="s">
        <v>632</v>
      </c>
      <c r="G436" s="25" t="s">
        <v>633</v>
      </c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6"/>
    </row>
    <row r="437" spans="1:30" x14ac:dyDescent="0.3">
      <c r="A437" s="34"/>
      <c r="B437" s="35"/>
      <c r="C437" s="25" t="s">
        <v>642</v>
      </c>
      <c r="D437" s="25" t="s">
        <v>189</v>
      </c>
      <c r="E437" s="25" t="s">
        <v>643</v>
      </c>
      <c r="F437" s="25" t="s">
        <v>724</v>
      </c>
      <c r="G437" s="25" t="s">
        <v>633</v>
      </c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6"/>
    </row>
    <row r="438" spans="1:30" x14ac:dyDescent="0.3">
      <c r="A438" s="34"/>
      <c r="B438" s="37"/>
      <c r="C438" s="25" t="s">
        <v>645</v>
      </c>
      <c r="D438" s="25" t="s">
        <v>285</v>
      </c>
      <c r="E438" s="25" t="s">
        <v>648</v>
      </c>
      <c r="F438" s="25" t="s">
        <v>859</v>
      </c>
      <c r="G438" s="25" t="s">
        <v>633</v>
      </c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6"/>
    </row>
    <row r="439" spans="1:30" x14ac:dyDescent="0.3">
      <c r="A439" s="34"/>
      <c r="B439" s="25" t="s">
        <v>626</v>
      </c>
      <c r="C439" s="25" t="s">
        <v>626</v>
      </c>
      <c r="D439" s="25" t="s">
        <v>954</v>
      </c>
      <c r="E439" s="25" t="s">
        <v>666</v>
      </c>
      <c r="F439" s="25" t="s">
        <v>667</v>
      </c>
      <c r="G439" s="25" t="s">
        <v>650</v>
      </c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6"/>
    </row>
    <row r="440" spans="1:30" x14ac:dyDescent="0.3">
      <c r="A440" s="34"/>
      <c r="B440" s="25" t="s">
        <v>626</v>
      </c>
      <c r="C440" s="25" t="s">
        <v>626</v>
      </c>
      <c r="D440" s="25" t="s">
        <v>728</v>
      </c>
      <c r="E440" s="25" t="s">
        <v>677</v>
      </c>
      <c r="F440" s="25" t="s">
        <v>649</v>
      </c>
      <c r="G440" s="25" t="s">
        <v>650</v>
      </c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6"/>
    </row>
    <row r="441" spans="1:30" x14ac:dyDescent="0.3">
      <c r="A441" s="34"/>
      <c r="B441" s="25" t="s">
        <v>955</v>
      </c>
      <c r="C441" s="25" t="s">
        <v>642</v>
      </c>
      <c r="D441" s="25" t="s">
        <v>280</v>
      </c>
      <c r="E441" s="25" t="s">
        <v>956</v>
      </c>
      <c r="F441" s="25" t="s">
        <v>731</v>
      </c>
      <c r="G441" s="25" t="s">
        <v>650</v>
      </c>
      <c r="H441" s="42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6"/>
    </row>
    <row r="442" spans="1:30" x14ac:dyDescent="0.3">
      <c r="A442" s="34"/>
      <c r="B442" s="25" t="s">
        <v>732</v>
      </c>
      <c r="C442" s="25" t="s">
        <v>634</v>
      </c>
      <c r="D442" s="25" t="s">
        <v>389</v>
      </c>
      <c r="E442" s="25" t="s">
        <v>621</v>
      </c>
      <c r="F442" s="25" t="s">
        <v>653</v>
      </c>
      <c r="G442" s="25" t="s">
        <v>650</v>
      </c>
      <c r="H442" s="42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6"/>
    </row>
    <row r="443" spans="1:30" x14ac:dyDescent="0.3">
      <c r="A443" s="34"/>
      <c r="B443" s="25" t="s">
        <v>845</v>
      </c>
      <c r="C443" s="25" t="s">
        <v>637</v>
      </c>
      <c r="D443" s="25" t="s">
        <v>362</v>
      </c>
      <c r="E443" s="25" t="s">
        <v>641</v>
      </c>
      <c r="F443" s="25" t="s">
        <v>632</v>
      </c>
      <c r="G443" s="25" t="s">
        <v>650</v>
      </c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6"/>
    </row>
    <row r="444" spans="1:30" x14ac:dyDescent="0.3">
      <c r="A444" s="34"/>
      <c r="B444" s="25" t="s">
        <v>957</v>
      </c>
      <c r="C444" s="25" t="s">
        <v>634</v>
      </c>
      <c r="D444" s="25" t="s">
        <v>160</v>
      </c>
      <c r="E444" s="25" t="s">
        <v>638</v>
      </c>
      <c r="F444" s="25" t="s">
        <v>639</v>
      </c>
      <c r="G444" s="25" t="s">
        <v>650</v>
      </c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6"/>
    </row>
    <row r="445" spans="1:30" x14ac:dyDescent="0.3">
      <c r="A445" s="34"/>
      <c r="B445" s="25" t="s">
        <v>958</v>
      </c>
      <c r="C445" s="25" t="s">
        <v>652</v>
      </c>
      <c r="D445" s="25" t="s">
        <v>176</v>
      </c>
      <c r="E445" s="25" t="s">
        <v>739</v>
      </c>
      <c r="F445" s="25" t="s">
        <v>686</v>
      </c>
      <c r="G445" s="25" t="s">
        <v>650</v>
      </c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6"/>
    </row>
    <row r="446" spans="1:30" x14ac:dyDescent="0.3">
      <c r="A446" s="34"/>
      <c r="B446" s="25" t="s">
        <v>717</v>
      </c>
      <c r="C446" s="25" t="s">
        <v>630</v>
      </c>
      <c r="D446" s="25" t="s">
        <v>266</v>
      </c>
      <c r="E446" s="25" t="s">
        <v>712</v>
      </c>
      <c r="F446" s="25" t="s">
        <v>713</v>
      </c>
      <c r="G446" s="25" t="s">
        <v>650</v>
      </c>
      <c r="H446" s="42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6"/>
    </row>
    <row r="447" spans="1:30" x14ac:dyDescent="0.3">
      <c r="A447" s="34"/>
      <c r="B447" s="25" t="s">
        <v>747</v>
      </c>
      <c r="C447" s="25" t="s">
        <v>637</v>
      </c>
      <c r="D447" s="25" t="s">
        <v>189</v>
      </c>
      <c r="E447" s="25" t="s">
        <v>643</v>
      </c>
      <c r="F447" s="25" t="s">
        <v>724</v>
      </c>
      <c r="G447" s="25" t="s">
        <v>650</v>
      </c>
      <c r="H447" s="42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6"/>
    </row>
    <row r="448" spans="1:30" ht="15" thickBot="1" x14ac:dyDescent="0.35">
      <c r="A448" s="38"/>
      <c r="B448" s="39" t="s">
        <v>736</v>
      </c>
      <c r="C448" s="39" t="s">
        <v>637</v>
      </c>
      <c r="D448" s="39" t="s">
        <v>387</v>
      </c>
      <c r="E448" s="39" t="s">
        <v>688</v>
      </c>
      <c r="F448" s="39" t="s">
        <v>724</v>
      </c>
      <c r="G448" s="39" t="s">
        <v>650</v>
      </c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1"/>
    </row>
    <row r="449" spans="1:30" x14ac:dyDescent="0.3">
      <c r="A449" s="30" t="s">
        <v>499</v>
      </c>
      <c r="B449" s="31" t="s">
        <v>959</v>
      </c>
      <c r="C449" s="32" t="s">
        <v>620</v>
      </c>
      <c r="D449" s="32" t="s">
        <v>500</v>
      </c>
      <c r="E449" s="32" t="s">
        <v>621</v>
      </c>
      <c r="F449" s="32"/>
      <c r="G449" s="32" t="s">
        <v>622</v>
      </c>
      <c r="H449" s="31" t="s">
        <v>702</v>
      </c>
      <c r="I449" s="31">
        <v>80</v>
      </c>
      <c r="J449" s="31">
        <v>39</v>
      </c>
      <c r="K449" s="31" t="s">
        <v>105</v>
      </c>
      <c r="L449" s="31" t="s">
        <v>624</v>
      </c>
      <c r="M449" s="31" t="s">
        <v>624</v>
      </c>
      <c r="N449" s="31" t="s">
        <v>624</v>
      </c>
      <c r="O449" s="31" t="s">
        <v>624</v>
      </c>
      <c r="P449" s="31" t="s">
        <v>624</v>
      </c>
      <c r="Q449" s="31" t="s">
        <v>624</v>
      </c>
      <c r="R449" s="31" t="s">
        <v>625</v>
      </c>
      <c r="S449" s="31" t="s">
        <v>625</v>
      </c>
      <c r="T449" s="31" t="s">
        <v>625</v>
      </c>
      <c r="U449" s="31" t="s">
        <v>625</v>
      </c>
      <c r="V449" s="31" t="s">
        <v>626</v>
      </c>
      <c r="W449" s="31" t="s">
        <v>625</v>
      </c>
      <c r="X449" s="31" t="s">
        <v>625</v>
      </c>
      <c r="Y449" s="31" t="s">
        <v>625</v>
      </c>
      <c r="Z449" s="31" t="s">
        <v>626</v>
      </c>
      <c r="AA449" s="31" t="s">
        <v>625</v>
      </c>
      <c r="AB449" s="31" t="s">
        <v>627</v>
      </c>
      <c r="AC449" s="31" t="s">
        <v>628</v>
      </c>
      <c r="AD449" s="33" t="s">
        <v>706</v>
      </c>
    </row>
    <row r="450" spans="1:30" x14ac:dyDescent="0.3">
      <c r="A450" s="34"/>
      <c r="B450" s="35"/>
      <c r="C450" s="25" t="s">
        <v>652</v>
      </c>
      <c r="D450" s="25" t="s">
        <v>150</v>
      </c>
      <c r="E450" s="25" t="s">
        <v>638</v>
      </c>
      <c r="F450" s="25" t="s">
        <v>639</v>
      </c>
      <c r="G450" s="25" t="s">
        <v>633</v>
      </c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6"/>
    </row>
    <row r="451" spans="1:30" x14ac:dyDescent="0.3">
      <c r="A451" s="34"/>
      <c r="B451" s="35"/>
      <c r="C451" s="25" t="s">
        <v>630</v>
      </c>
      <c r="D451" s="25" t="s">
        <v>165</v>
      </c>
      <c r="E451" s="25" t="s">
        <v>739</v>
      </c>
      <c r="F451" s="25" t="s">
        <v>693</v>
      </c>
      <c r="G451" s="25" t="s">
        <v>633</v>
      </c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6"/>
    </row>
    <row r="452" spans="1:30" x14ac:dyDescent="0.3">
      <c r="A452" s="34"/>
      <c r="B452" s="35"/>
      <c r="C452" s="25" t="s">
        <v>634</v>
      </c>
      <c r="D452" s="25" t="s">
        <v>260</v>
      </c>
      <c r="E452" s="25" t="s">
        <v>712</v>
      </c>
      <c r="F452" s="25" t="s">
        <v>943</v>
      </c>
      <c r="G452" s="25" t="s">
        <v>633</v>
      </c>
      <c r="H452" s="42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6"/>
    </row>
    <row r="453" spans="1:30" x14ac:dyDescent="0.3">
      <c r="A453" s="34"/>
      <c r="B453" s="35"/>
      <c r="C453" s="25" t="s">
        <v>637</v>
      </c>
      <c r="D453" s="25" t="s">
        <v>430</v>
      </c>
      <c r="E453" s="25" t="s">
        <v>635</v>
      </c>
      <c r="F453" s="25" t="s">
        <v>636</v>
      </c>
      <c r="G453" s="25" t="s">
        <v>633</v>
      </c>
      <c r="H453" s="42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6"/>
    </row>
    <row r="454" spans="1:30" x14ac:dyDescent="0.3">
      <c r="A454" s="34"/>
      <c r="B454" s="35"/>
      <c r="C454" s="25" t="s">
        <v>640</v>
      </c>
      <c r="D454" s="25" t="s">
        <v>398</v>
      </c>
      <c r="E454" s="25" t="s">
        <v>641</v>
      </c>
      <c r="F454" s="25" t="s">
        <v>632</v>
      </c>
      <c r="G454" s="25" t="s">
        <v>633</v>
      </c>
      <c r="H454" s="42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6"/>
    </row>
    <row r="455" spans="1:30" x14ac:dyDescent="0.3">
      <c r="A455" s="34"/>
      <c r="B455" s="35"/>
      <c r="C455" s="25" t="s">
        <v>642</v>
      </c>
      <c r="D455" s="25" t="s">
        <v>190</v>
      </c>
      <c r="E455" s="25" t="s">
        <v>643</v>
      </c>
      <c r="F455" s="25" t="s">
        <v>763</v>
      </c>
      <c r="G455" s="25" t="s">
        <v>633</v>
      </c>
      <c r="H455" s="42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6"/>
    </row>
    <row r="456" spans="1:30" x14ac:dyDescent="0.3">
      <c r="A456" s="34"/>
      <c r="B456" s="37"/>
      <c r="C456" s="25" t="s">
        <v>645</v>
      </c>
      <c r="D456" s="25" t="s">
        <v>271</v>
      </c>
      <c r="E456" s="25" t="s">
        <v>956</v>
      </c>
      <c r="F456" s="25" t="s">
        <v>743</v>
      </c>
      <c r="G456" s="25" t="s">
        <v>633</v>
      </c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6"/>
    </row>
    <row r="457" spans="1:30" x14ac:dyDescent="0.3">
      <c r="A457" s="34"/>
      <c r="B457" s="25" t="s">
        <v>626</v>
      </c>
      <c r="C457" s="25" t="s">
        <v>626</v>
      </c>
      <c r="D457" s="25" t="s">
        <v>960</v>
      </c>
      <c r="E457" s="25" t="s">
        <v>666</v>
      </c>
      <c r="F457" s="25" t="s">
        <v>667</v>
      </c>
      <c r="G457" s="25" t="s">
        <v>650</v>
      </c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6"/>
    </row>
    <row r="458" spans="1:30" x14ac:dyDescent="0.3">
      <c r="A458" s="34"/>
      <c r="B458" s="25" t="s">
        <v>626</v>
      </c>
      <c r="C458" s="25" t="s">
        <v>626</v>
      </c>
      <c r="D458" s="25" t="s">
        <v>961</v>
      </c>
      <c r="E458" s="25" t="s">
        <v>677</v>
      </c>
      <c r="F458" s="25" t="s">
        <v>649</v>
      </c>
      <c r="G458" s="25" t="s">
        <v>650</v>
      </c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6"/>
    </row>
    <row r="459" spans="1:30" x14ac:dyDescent="0.3">
      <c r="A459" s="34"/>
      <c r="B459" s="25" t="s">
        <v>744</v>
      </c>
      <c r="C459" s="25" t="s">
        <v>634</v>
      </c>
      <c r="D459" s="25" t="s">
        <v>184</v>
      </c>
      <c r="E459" s="25" t="s">
        <v>621</v>
      </c>
      <c r="F459" s="25" t="s">
        <v>653</v>
      </c>
      <c r="G459" s="25" t="s">
        <v>650</v>
      </c>
      <c r="H459" s="42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6"/>
    </row>
    <row r="460" spans="1:30" x14ac:dyDescent="0.3">
      <c r="A460" s="34"/>
      <c r="B460" s="25" t="s">
        <v>932</v>
      </c>
      <c r="C460" s="25" t="s">
        <v>637</v>
      </c>
      <c r="D460" s="25" t="s">
        <v>398</v>
      </c>
      <c r="E460" s="25" t="s">
        <v>641</v>
      </c>
      <c r="F460" s="25" t="s">
        <v>632</v>
      </c>
      <c r="G460" s="25" t="s">
        <v>650</v>
      </c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6"/>
    </row>
    <row r="461" spans="1:30" x14ac:dyDescent="0.3">
      <c r="A461" s="34"/>
      <c r="B461" s="25" t="s">
        <v>962</v>
      </c>
      <c r="C461" s="25" t="s">
        <v>634</v>
      </c>
      <c r="D461" s="25" t="s">
        <v>150</v>
      </c>
      <c r="E461" s="25" t="s">
        <v>638</v>
      </c>
      <c r="F461" s="25" t="s">
        <v>639</v>
      </c>
      <c r="G461" s="25" t="s">
        <v>650</v>
      </c>
      <c r="H461" s="42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6"/>
    </row>
    <row r="462" spans="1:30" x14ac:dyDescent="0.3">
      <c r="A462" s="34"/>
      <c r="B462" s="25" t="s">
        <v>899</v>
      </c>
      <c r="C462" s="25" t="s">
        <v>630</v>
      </c>
      <c r="D462" s="25" t="s">
        <v>463</v>
      </c>
      <c r="E462" s="25" t="s">
        <v>837</v>
      </c>
      <c r="F462" s="25" t="s">
        <v>900</v>
      </c>
      <c r="G462" s="25" t="s">
        <v>650</v>
      </c>
      <c r="H462" s="42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6"/>
    </row>
    <row r="463" spans="1:30" x14ac:dyDescent="0.3">
      <c r="A463" s="34"/>
      <c r="B463" s="25" t="s">
        <v>946</v>
      </c>
      <c r="C463" s="25" t="s">
        <v>652</v>
      </c>
      <c r="D463" s="25" t="s">
        <v>260</v>
      </c>
      <c r="E463" s="25" t="s">
        <v>712</v>
      </c>
      <c r="F463" s="25" t="s">
        <v>943</v>
      </c>
      <c r="G463" s="25" t="s">
        <v>650</v>
      </c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6"/>
    </row>
    <row r="464" spans="1:30" x14ac:dyDescent="0.3">
      <c r="A464" s="34"/>
      <c r="B464" s="25" t="s">
        <v>847</v>
      </c>
      <c r="C464" s="25" t="s">
        <v>642</v>
      </c>
      <c r="D464" s="25" t="s">
        <v>190</v>
      </c>
      <c r="E464" s="25" t="s">
        <v>643</v>
      </c>
      <c r="F464" s="25" t="s">
        <v>763</v>
      </c>
      <c r="G464" s="25" t="s">
        <v>650</v>
      </c>
      <c r="H464" s="42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6"/>
    </row>
    <row r="465" spans="1:30" ht="15" thickBot="1" x14ac:dyDescent="0.35">
      <c r="A465" s="38"/>
      <c r="B465" s="39" t="s">
        <v>963</v>
      </c>
      <c r="C465" s="39" t="s">
        <v>652</v>
      </c>
      <c r="D465" s="39" t="s">
        <v>165</v>
      </c>
      <c r="E465" s="39" t="s">
        <v>739</v>
      </c>
      <c r="F465" s="39" t="s">
        <v>693</v>
      </c>
      <c r="G465" s="39" t="s">
        <v>650</v>
      </c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1"/>
    </row>
    <row r="466" spans="1:30" x14ac:dyDescent="0.3">
      <c r="A466" s="30" t="s">
        <v>374</v>
      </c>
      <c r="B466" s="31" t="s">
        <v>964</v>
      </c>
      <c r="C466" s="32" t="s">
        <v>620</v>
      </c>
      <c r="D466" s="32" t="s">
        <v>375</v>
      </c>
      <c r="E466" s="32" t="s">
        <v>621</v>
      </c>
      <c r="F466" s="32"/>
      <c r="G466" s="32" t="s">
        <v>622</v>
      </c>
      <c r="H466" s="31" t="s">
        <v>702</v>
      </c>
      <c r="I466" s="31">
        <v>56</v>
      </c>
      <c r="J466" s="31">
        <v>28</v>
      </c>
      <c r="K466" s="31" t="s">
        <v>105</v>
      </c>
      <c r="L466" s="31" t="s">
        <v>624</v>
      </c>
      <c r="M466" s="31" t="s">
        <v>624</v>
      </c>
      <c r="N466" s="31" t="s">
        <v>624</v>
      </c>
      <c r="O466" s="31" t="s">
        <v>624</v>
      </c>
      <c r="P466" s="31" t="s">
        <v>624</v>
      </c>
      <c r="Q466" s="31" t="s">
        <v>624</v>
      </c>
      <c r="R466" s="31" t="s">
        <v>625</v>
      </c>
      <c r="S466" s="31" t="s">
        <v>625</v>
      </c>
      <c r="T466" s="31" t="s">
        <v>625</v>
      </c>
      <c r="U466" s="31" t="s">
        <v>625</v>
      </c>
      <c r="V466" s="31" t="s">
        <v>626</v>
      </c>
      <c r="W466" s="31" t="s">
        <v>625</v>
      </c>
      <c r="X466" s="31" t="s">
        <v>625</v>
      </c>
      <c r="Y466" s="31" t="s">
        <v>625</v>
      </c>
      <c r="Z466" s="31" t="s">
        <v>626</v>
      </c>
      <c r="AA466" s="31" t="s">
        <v>625</v>
      </c>
      <c r="AB466" s="31" t="s">
        <v>627</v>
      </c>
      <c r="AC466" s="31" t="s">
        <v>628</v>
      </c>
      <c r="AD466" s="33" t="s">
        <v>706</v>
      </c>
    </row>
    <row r="467" spans="1:30" x14ac:dyDescent="0.3">
      <c r="A467" s="34"/>
      <c r="B467" s="35"/>
      <c r="C467" s="25" t="s">
        <v>652</v>
      </c>
      <c r="D467" s="25" t="s">
        <v>166</v>
      </c>
      <c r="E467" s="25" t="s">
        <v>837</v>
      </c>
      <c r="F467" s="25" t="s">
        <v>943</v>
      </c>
      <c r="G467" s="25" t="s">
        <v>633</v>
      </c>
      <c r="H467" s="42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6"/>
    </row>
    <row r="468" spans="1:30" x14ac:dyDescent="0.3">
      <c r="A468" s="34"/>
      <c r="B468" s="35"/>
      <c r="C468" s="25" t="s">
        <v>634</v>
      </c>
      <c r="D468" s="25" t="s">
        <v>206</v>
      </c>
      <c r="E468" s="25" t="s">
        <v>783</v>
      </c>
      <c r="F468" s="25" t="s">
        <v>743</v>
      </c>
      <c r="G468" s="25" t="s">
        <v>633</v>
      </c>
      <c r="H468" s="42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6"/>
    </row>
    <row r="469" spans="1:30" x14ac:dyDescent="0.3">
      <c r="A469" s="34"/>
      <c r="B469" s="35"/>
      <c r="C469" s="25" t="s">
        <v>637</v>
      </c>
      <c r="D469" s="25" t="s">
        <v>277</v>
      </c>
      <c r="E469" s="25" t="s">
        <v>641</v>
      </c>
      <c r="F469" s="25" t="s">
        <v>632</v>
      </c>
      <c r="G469" s="25" t="s">
        <v>633</v>
      </c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6"/>
    </row>
    <row r="470" spans="1:30" x14ac:dyDescent="0.3">
      <c r="A470" s="34"/>
      <c r="B470" s="35"/>
      <c r="C470" s="25" t="s">
        <v>640</v>
      </c>
      <c r="D470" s="25" t="s">
        <v>376</v>
      </c>
      <c r="E470" s="25" t="s">
        <v>839</v>
      </c>
      <c r="F470" s="25" t="s">
        <v>636</v>
      </c>
      <c r="G470" s="25" t="s">
        <v>633</v>
      </c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6"/>
    </row>
    <row r="471" spans="1:30" x14ac:dyDescent="0.3">
      <c r="A471" s="34"/>
      <c r="B471" s="35"/>
      <c r="C471" s="25" t="s">
        <v>642</v>
      </c>
      <c r="D471" s="25" t="s">
        <v>149</v>
      </c>
      <c r="E471" s="25" t="s">
        <v>643</v>
      </c>
      <c r="F471" s="25" t="s">
        <v>692</v>
      </c>
      <c r="G471" s="25" t="s">
        <v>633</v>
      </c>
      <c r="H471" s="42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6"/>
    </row>
    <row r="472" spans="1:30" x14ac:dyDescent="0.3">
      <c r="A472" s="34"/>
      <c r="B472" s="37"/>
      <c r="C472" s="25" t="s">
        <v>645</v>
      </c>
      <c r="D472" s="25" t="s">
        <v>182</v>
      </c>
      <c r="E472" s="25" t="s">
        <v>638</v>
      </c>
      <c r="F472" s="25" t="s">
        <v>639</v>
      </c>
      <c r="G472" s="25" t="s">
        <v>633</v>
      </c>
      <c r="H472" s="42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6"/>
    </row>
    <row r="473" spans="1:30" x14ac:dyDescent="0.3">
      <c r="A473" s="34"/>
      <c r="B473" s="25" t="s">
        <v>626</v>
      </c>
      <c r="C473" s="25" t="s">
        <v>626</v>
      </c>
      <c r="D473" s="25" t="s">
        <v>296</v>
      </c>
      <c r="E473" s="25" t="s">
        <v>648</v>
      </c>
      <c r="F473" s="25" t="s">
        <v>649</v>
      </c>
      <c r="G473" s="25" t="s">
        <v>650</v>
      </c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6"/>
    </row>
    <row r="474" spans="1:30" x14ac:dyDescent="0.3">
      <c r="A474" s="34"/>
      <c r="B474" s="25" t="s">
        <v>757</v>
      </c>
      <c r="C474" s="25" t="s">
        <v>630</v>
      </c>
      <c r="D474" s="25" t="s">
        <v>377</v>
      </c>
      <c r="E474" s="25" t="s">
        <v>621</v>
      </c>
      <c r="F474" s="25" t="s">
        <v>653</v>
      </c>
      <c r="G474" s="25" t="s">
        <v>650</v>
      </c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6"/>
    </row>
    <row r="475" spans="1:30" x14ac:dyDescent="0.3">
      <c r="A475" s="34"/>
      <c r="B475" s="25" t="s">
        <v>965</v>
      </c>
      <c r="C475" s="25" t="s">
        <v>652</v>
      </c>
      <c r="D475" s="25" t="s">
        <v>277</v>
      </c>
      <c r="E475" s="25" t="s">
        <v>641</v>
      </c>
      <c r="F475" s="25" t="s">
        <v>632</v>
      </c>
      <c r="G475" s="25" t="s">
        <v>650</v>
      </c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6"/>
    </row>
    <row r="476" spans="1:30" x14ac:dyDescent="0.3">
      <c r="A476" s="34"/>
      <c r="B476" s="25" t="s">
        <v>966</v>
      </c>
      <c r="C476" s="25" t="s">
        <v>634</v>
      </c>
      <c r="D476" s="25" t="s">
        <v>182</v>
      </c>
      <c r="E476" s="25" t="s">
        <v>638</v>
      </c>
      <c r="F476" s="25" t="s">
        <v>639</v>
      </c>
      <c r="G476" s="25" t="s">
        <v>650</v>
      </c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6"/>
    </row>
    <row r="477" spans="1:30" x14ac:dyDescent="0.3">
      <c r="A477" s="34"/>
      <c r="B477" s="25" t="s">
        <v>958</v>
      </c>
      <c r="C477" s="25" t="s">
        <v>630</v>
      </c>
      <c r="D477" s="25" t="s">
        <v>176</v>
      </c>
      <c r="E477" s="25" t="s">
        <v>739</v>
      </c>
      <c r="F477" s="25" t="s">
        <v>686</v>
      </c>
      <c r="G477" s="25" t="s">
        <v>650</v>
      </c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6"/>
    </row>
    <row r="478" spans="1:30" x14ac:dyDescent="0.3">
      <c r="A478" s="34"/>
      <c r="B478" s="25" t="s">
        <v>967</v>
      </c>
      <c r="C478" s="25" t="s">
        <v>652</v>
      </c>
      <c r="D478" s="25" t="s">
        <v>166</v>
      </c>
      <c r="E478" s="25" t="s">
        <v>837</v>
      </c>
      <c r="F478" s="25" t="s">
        <v>943</v>
      </c>
      <c r="G478" s="25" t="s">
        <v>650</v>
      </c>
      <c r="H478" s="42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6"/>
    </row>
    <row r="479" spans="1:30" x14ac:dyDescent="0.3">
      <c r="A479" s="34"/>
      <c r="B479" s="25" t="s">
        <v>968</v>
      </c>
      <c r="C479" s="25" t="s">
        <v>652</v>
      </c>
      <c r="D479" s="25" t="s">
        <v>149</v>
      </c>
      <c r="E479" s="25" t="s">
        <v>643</v>
      </c>
      <c r="F479" s="25" t="s">
        <v>692</v>
      </c>
      <c r="G479" s="25" t="s">
        <v>650</v>
      </c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6"/>
    </row>
    <row r="480" spans="1:30" ht="15" thickBot="1" x14ac:dyDescent="0.35">
      <c r="A480" s="38"/>
      <c r="B480" s="39" t="s">
        <v>658</v>
      </c>
      <c r="C480" s="39" t="s">
        <v>630</v>
      </c>
      <c r="D480" s="39" t="s">
        <v>378</v>
      </c>
      <c r="E480" s="39" t="s">
        <v>659</v>
      </c>
      <c r="F480" s="39" t="s">
        <v>660</v>
      </c>
      <c r="G480" s="39" t="s">
        <v>650</v>
      </c>
      <c r="H480" s="39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1"/>
    </row>
    <row r="481" spans="1:30" x14ac:dyDescent="0.3">
      <c r="A481" s="30" t="s">
        <v>366</v>
      </c>
      <c r="B481" s="31" t="s">
        <v>969</v>
      </c>
      <c r="C481" s="32" t="s">
        <v>620</v>
      </c>
      <c r="D481" s="32" t="s">
        <v>367</v>
      </c>
      <c r="E481" s="32" t="s">
        <v>621</v>
      </c>
      <c r="F481" s="32"/>
      <c r="G481" s="32" t="s">
        <v>622</v>
      </c>
      <c r="H481" s="31" t="s">
        <v>702</v>
      </c>
      <c r="I481" s="31">
        <v>55</v>
      </c>
      <c r="J481" s="31">
        <v>27</v>
      </c>
      <c r="K481" s="31" t="s">
        <v>105</v>
      </c>
      <c r="L481" s="31" t="s">
        <v>624</v>
      </c>
      <c r="M481" s="31" t="s">
        <v>624</v>
      </c>
      <c r="N481" s="31" t="s">
        <v>624</v>
      </c>
      <c r="O481" s="31" t="s">
        <v>624</v>
      </c>
      <c r="P481" s="31" t="s">
        <v>624</v>
      </c>
      <c r="Q481" s="31" t="s">
        <v>624</v>
      </c>
      <c r="R481" s="31" t="s">
        <v>625</v>
      </c>
      <c r="S481" s="31" t="s">
        <v>625</v>
      </c>
      <c r="T481" s="31" t="s">
        <v>625</v>
      </c>
      <c r="U481" s="31" t="s">
        <v>625</v>
      </c>
      <c r="V481" s="31" t="s">
        <v>626</v>
      </c>
      <c r="W481" s="31" t="s">
        <v>625</v>
      </c>
      <c r="X481" s="31" t="s">
        <v>625</v>
      </c>
      <c r="Y481" s="31" t="s">
        <v>625</v>
      </c>
      <c r="Z481" s="31" t="s">
        <v>626</v>
      </c>
      <c r="AA481" s="31" t="s">
        <v>625</v>
      </c>
      <c r="AB481" s="31" t="s">
        <v>627</v>
      </c>
      <c r="AC481" s="31" t="s">
        <v>628</v>
      </c>
      <c r="AD481" s="33" t="s">
        <v>706</v>
      </c>
    </row>
    <row r="482" spans="1:30" x14ac:dyDescent="0.3">
      <c r="A482" s="34"/>
      <c r="B482" s="35"/>
      <c r="C482" s="25" t="s">
        <v>652</v>
      </c>
      <c r="D482" s="25" t="s">
        <v>173</v>
      </c>
      <c r="E482" s="25" t="s">
        <v>837</v>
      </c>
      <c r="F482" s="25" t="s">
        <v>713</v>
      </c>
      <c r="G482" s="25" t="s">
        <v>633</v>
      </c>
      <c r="H482" s="42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6"/>
    </row>
    <row r="483" spans="1:30" x14ac:dyDescent="0.3">
      <c r="A483" s="34"/>
      <c r="B483" s="35"/>
      <c r="C483" s="25" t="s">
        <v>630</v>
      </c>
      <c r="D483" s="25" t="s">
        <v>165</v>
      </c>
      <c r="E483" s="25" t="s">
        <v>739</v>
      </c>
      <c r="F483" s="25" t="s">
        <v>693</v>
      </c>
      <c r="G483" s="25" t="s">
        <v>633</v>
      </c>
      <c r="H483" s="42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6"/>
    </row>
    <row r="484" spans="1:30" x14ac:dyDescent="0.3">
      <c r="A484" s="34"/>
      <c r="B484" s="35"/>
      <c r="C484" s="25" t="s">
        <v>634</v>
      </c>
      <c r="D484" s="25" t="s">
        <v>368</v>
      </c>
      <c r="E484" s="25" t="s">
        <v>659</v>
      </c>
      <c r="F484" s="25" t="s">
        <v>662</v>
      </c>
      <c r="G484" s="25" t="s">
        <v>633</v>
      </c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6"/>
    </row>
    <row r="485" spans="1:30" x14ac:dyDescent="0.3">
      <c r="A485" s="34"/>
      <c r="B485" s="35"/>
      <c r="C485" s="25" t="s">
        <v>637</v>
      </c>
      <c r="D485" s="25" t="s">
        <v>369</v>
      </c>
      <c r="E485" s="25" t="s">
        <v>641</v>
      </c>
      <c r="F485" s="25" t="s">
        <v>632</v>
      </c>
      <c r="G485" s="25" t="s">
        <v>633</v>
      </c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6"/>
    </row>
    <row r="486" spans="1:30" x14ac:dyDescent="0.3">
      <c r="A486" s="34"/>
      <c r="B486" s="35"/>
      <c r="C486" s="25" t="s">
        <v>640</v>
      </c>
      <c r="D486" s="25" t="s">
        <v>370</v>
      </c>
      <c r="E486" s="25" t="s">
        <v>839</v>
      </c>
      <c r="F486" s="25" t="s">
        <v>636</v>
      </c>
      <c r="G486" s="25" t="s">
        <v>633</v>
      </c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6"/>
    </row>
    <row r="487" spans="1:30" x14ac:dyDescent="0.3">
      <c r="A487" s="34"/>
      <c r="B487" s="35"/>
      <c r="C487" s="25" t="s">
        <v>642</v>
      </c>
      <c r="D487" s="25" t="s">
        <v>141</v>
      </c>
      <c r="E487" s="25" t="s">
        <v>643</v>
      </c>
      <c r="F487" s="25" t="s">
        <v>689</v>
      </c>
      <c r="G487" s="25" t="s">
        <v>633</v>
      </c>
      <c r="H487" s="42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6"/>
    </row>
    <row r="488" spans="1:30" x14ac:dyDescent="0.3">
      <c r="A488" s="34"/>
      <c r="B488" s="37"/>
      <c r="C488" s="25" t="s">
        <v>645</v>
      </c>
      <c r="D488" s="25" t="s">
        <v>228</v>
      </c>
      <c r="E488" s="25" t="s">
        <v>638</v>
      </c>
      <c r="F488" s="25" t="s">
        <v>639</v>
      </c>
      <c r="G488" s="25" t="s">
        <v>633</v>
      </c>
      <c r="H488" s="42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6"/>
    </row>
    <row r="489" spans="1:30" x14ac:dyDescent="0.3">
      <c r="A489" s="34"/>
      <c r="B489" s="25" t="s">
        <v>626</v>
      </c>
      <c r="C489" s="25" t="s">
        <v>626</v>
      </c>
      <c r="D489" s="25" t="s">
        <v>287</v>
      </c>
      <c r="E489" s="25" t="s">
        <v>648</v>
      </c>
      <c r="F489" s="25" t="s">
        <v>649</v>
      </c>
      <c r="G489" s="25" t="s">
        <v>650</v>
      </c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6"/>
    </row>
    <row r="490" spans="1:30" x14ac:dyDescent="0.3">
      <c r="A490" s="34"/>
      <c r="B490" s="25" t="s">
        <v>626</v>
      </c>
      <c r="C490" s="25" t="s">
        <v>626</v>
      </c>
      <c r="D490" s="25" t="s">
        <v>970</v>
      </c>
      <c r="E490" s="25" t="s">
        <v>666</v>
      </c>
      <c r="F490" s="25" t="s">
        <v>667</v>
      </c>
      <c r="G490" s="25" t="s">
        <v>650</v>
      </c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6"/>
    </row>
    <row r="491" spans="1:30" x14ac:dyDescent="0.3">
      <c r="A491" s="34"/>
      <c r="B491" s="25" t="s">
        <v>794</v>
      </c>
      <c r="C491" s="25" t="s">
        <v>652</v>
      </c>
      <c r="D491" s="25" t="s">
        <v>215</v>
      </c>
      <c r="E491" s="25" t="s">
        <v>783</v>
      </c>
      <c r="F491" s="25" t="s">
        <v>731</v>
      </c>
      <c r="G491" s="25" t="s">
        <v>650</v>
      </c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6"/>
    </row>
    <row r="492" spans="1:30" x14ac:dyDescent="0.3">
      <c r="A492" s="34"/>
      <c r="B492" s="25" t="s">
        <v>766</v>
      </c>
      <c r="C492" s="25" t="s">
        <v>630</v>
      </c>
      <c r="D492" s="25" t="s">
        <v>372</v>
      </c>
      <c r="E492" s="25" t="s">
        <v>621</v>
      </c>
      <c r="F492" s="25" t="s">
        <v>653</v>
      </c>
      <c r="G492" s="25" t="s">
        <v>650</v>
      </c>
      <c r="H492" s="42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6"/>
    </row>
    <row r="493" spans="1:30" x14ac:dyDescent="0.3">
      <c r="A493" s="34"/>
      <c r="B493" s="25" t="s">
        <v>971</v>
      </c>
      <c r="C493" s="25" t="s">
        <v>652</v>
      </c>
      <c r="D493" s="25" t="s">
        <v>369</v>
      </c>
      <c r="E493" s="25" t="s">
        <v>641</v>
      </c>
      <c r="F493" s="25" t="s">
        <v>632</v>
      </c>
      <c r="G493" s="25" t="s">
        <v>650</v>
      </c>
      <c r="H493" s="42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6"/>
    </row>
    <row r="494" spans="1:30" x14ac:dyDescent="0.3">
      <c r="A494" s="34"/>
      <c r="B494" s="25" t="s">
        <v>972</v>
      </c>
      <c r="C494" s="25" t="s">
        <v>634</v>
      </c>
      <c r="D494" s="25" t="s">
        <v>228</v>
      </c>
      <c r="E494" s="25" t="s">
        <v>638</v>
      </c>
      <c r="F494" s="25" t="s">
        <v>639</v>
      </c>
      <c r="G494" s="25" t="s">
        <v>650</v>
      </c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6"/>
    </row>
    <row r="495" spans="1:30" x14ac:dyDescent="0.3">
      <c r="A495" s="34"/>
      <c r="B495" s="25" t="s">
        <v>973</v>
      </c>
      <c r="C495" s="25" t="s">
        <v>652</v>
      </c>
      <c r="D495" s="25" t="s">
        <v>173</v>
      </c>
      <c r="E495" s="25" t="s">
        <v>837</v>
      </c>
      <c r="F495" s="25" t="s">
        <v>713</v>
      </c>
      <c r="G495" s="25" t="s">
        <v>650</v>
      </c>
      <c r="H495" s="42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6"/>
    </row>
    <row r="496" spans="1:30" x14ac:dyDescent="0.3">
      <c r="A496" s="34"/>
      <c r="B496" s="25" t="s">
        <v>974</v>
      </c>
      <c r="C496" s="25" t="s">
        <v>630</v>
      </c>
      <c r="D496" s="25" t="s">
        <v>141</v>
      </c>
      <c r="E496" s="25" t="s">
        <v>643</v>
      </c>
      <c r="F496" s="25" t="s">
        <v>689</v>
      </c>
      <c r="G496" s="25" t="s">
        <v>650</v>
      </c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6"/>
    </row>
    <row r="497" spans="1:30" ht="15" thickBot="1" x14ac:dyDescent="0.35">
      <c r="A497" s="38"/>
      <c r="B497" s="39" t="s">
        <v>963</v>
      </c>
      <c r="C497" s="39" t="s">
        <v>630</v>
      </c>
      <c r="D497" s="39" t="s">
        <v>165</v>
      </c>
      <c r="E497" s="39" t="s">
        <v>739</v>
      </c>
      <c r="F497" s="39" t="s">
        <v>693</v>
      </c>
      <c r="G497" s="39" t="s">
        <v>650</v>
      </c>
      <c r="H497" s="39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1"/>
    </row>
    <row r="498" spans="1:30" x14ac:dyDescent="0.3">
      <c r="A498" s="30" t="s">
        <v>341</v>
      </c>
      <c r="B498" s="31" t="s">
        <v>975</v>
      </c>
      <c r="C498" s="32" t="s">
        <v>620</v>
      </c>
      <c r="D498" s="32" t="s">
        <v>342</v>
      </c>
      <c r="E498" s="32" t="s">
        <v>621</v>
      </c>
      <c r="F498" s="32"/>
      <c r="G498" s="32" t="s">
        <v>622</v>
      </c>
      <c r="H498" s="31" t="s">
        <v>623</v>
      </c>
      <c r="I498" s="31">
        <v>52</v>
      </c>
      <c r="J498" s="31" t="s">
        <v>626</v>
      </c>
      <c r="K498" s="31" t="s">
        <v>105</v>
      </c>
      <c r="L498" s="31" t="s">
        <v>624</v>
      </c>
      <c r="M498" s="31" t="s">
        <v>624</v>
      </c>
      <c r="N498" s="31" t="s">
        <v>624</v>
      </c>
      <c r="O498" s="31" t="s">
        <v>624</v>
      </c>
      <c r="P498" s="31" t="s">
        <v>624</v>
      </c>
      <c r="Q498" s="31" t="s">
        <v>624</v>
      </c>
      <c r="R498" s="31" t="s">
        <v>625</v>
      </c>
      <c r="S498" s="31" t="s">
        <v>625</v>
      </c>
      <c r="T498" s="31" t="s">
        <v>625</v>
      </c>
      <c r="U498" s="31" t="s">
        <v>625</v>
      </c>
      <c r="V498" s="31" t="s">
        <v>626</v>
      </c>
      <c r="W498" s="31" t="s">
        <v>625</v>
      </c>
      <c r="X498" s="31" t="s">
        <v>625</v>
      </c>
      <c r="Y498" s="31" t="s">
        <v>626</v>
      </c>
      <c r="Z498" s="31" t="s">
        <v>626</v>
      </c>
      <c r="AA498" s="31" t="s">
        <v>625</v>
      </c>
      <c r="AB498" s="31" t="s">
        <v>627</v>
      </c>
      <c r="AC498" s="31" t="s">
        <v>628</v>
      </c>
      <c r="AD498" s="33" t="s">
        <v>629</v>
      </c>
    </row>
    <row r="499" spans="1:30" x14ac:dyDescent="0.3">
      <c r="A499" s="34"/>
      <c r="B499" s="35"/>
      <c r="C499" s="25" t="s">
        <v>652</v>
      </c>
      <c r="D499" s="25" t="s">
        <v>181</v>
      </c>
      <c r="E499" s="25" t="s">
        <v>631</v>
      </c>
      <c r="F499" s="25" t="s">
        <v>632</v>
      </c>
      <c r="G499" s="25" t="s">
        <v>633</v>
      </c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6"/>
    </row>
    <row r="500" spans="1:30" x14ac:dyDescent="0.3">
      <c r="A500" s="34"/>
      <c r="B500" s="35"/>
      <c r="C500" s="25" t="s">
        <v>637</v>
      </c>
      <c r="D500" s="25" t="s">
        <v>88</v>
      </c>
      <c r="E500" s="25" t="s">
        <v>752</v>
      </c>
      <c r="F500" s="25" t="s">
        <v>724</v>
      </c>
      <c r="G500" s="25" t="s">
        <v>633</v>
      </c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6"/>
    </row>
    <row r="501" spans="1:30" x14ac:dyDescent="0.3">
      <c r="A501" s="34"/>
      <c r="B501" s="35"/>
      <c r="C501" s="25" t="s">
        <v>642</v>
      </c>
      <c r="D501" s="25" t="s">
        <v>343</v>
      </c>
      <c r="E501" s="25" t="s">
        <v>839</v>
      </c>
      <c r="F501" s="25" t="s">
        <v>636</v>
      </c>
      <c r="G501" s="25" t="s">
        <v>633</v>
      </c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6"/>
    </row>
    <row r="502" spans="1:30" x14ac:dyDescent="0.3">
      <c r="A502" s="34"/>
      <c r="B502" s="35"/>
      <c r="C502" s="25" t="s">
        <v>645</v>
      </c>
      <c r="D502" s="25" t="s">
        <v>344</v>
      </c>
      <c r="E502" s="25" t="s">
        <v>641</v>
      </c>
      <c r="F502" s="25" t="s">
        <v>632</v>
      </c>
      <c r="G502" s="25" t="s">
        <v>633</v>
      </c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6"/>
    </row>
    <row r="503" spans="1:30" x14ac:dyDescent="0.3">
      <c r="A503" s="34"/>
      <c r="B503" s="37"/>
      <c r="C503" s="25" t="s">
        <v>711</v>
      </c>
      <c r="D503" s="25" t="s">
        <v>345</v>
      </c>
      <c r="E503" s="25" t="s">
        <v>635</v>
      </c>
      <c r="F503" s="25" t="s">
        <v>636</v>
      </c>
      <c r="G503" s="25" t="s">
        <v>633</v>
      </c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6"/>
    </row>
    <row r="504" spans="1:30" x14ac:dyDescent="0.3">
      <c r="A504" s="34"/>
      <c r="B504" s="25" t="s">
        <v>626</v>
      </c>
      <c r="C504" s="25" t="s">
        <v>626</v>
      </c>
      <c r="D504" s="25" t="s">
        <v>346</v>
      </c>
      <c r="E504" s="25" t="s">
        <v>677</v>
      </c>
      <c r="F504" s="25" t="s">
        <v>678</v>
      </c>
      <c r="G504" s="25" t="s">
        <v>650</v>
      </c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6"/>
    </row>
    <row r="505" spans="1:30" x14ac:dyDescent="0.3">
      <c r="A505" s="34"/>
      <c r="B505" s="25" t="s">
        <v>779</v>
      </c>
      <c r="C505" s="25" t="s">
        <v>630</v>
      </c>
      <c r="D505" s="25" t="s">
        <v>347</v>
      </c>
      <c r="E505" s="25" t="s">
        <v>621</v>
      </c>
      <c r="F505" s="25" t="s">
        <v>653</v>
      </c>
      <c r="G505" s="25" t="s">
        <v>650</v>
      </c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6"/>
    </row>
    <row r="506" spans="1:30" x14ac:dyDescent="0.3">
      <c r="A506" s="34"/>
      <c r="B506" s="25" t="s">
        <v>834</v>
      </c>
      <c r="C506" s="25" t="s">
        <v>637</v>
      </c>
      <c r="D506" s="25" t="s">
        <v>181</v>
      </c>
      <c r="E506" s="25" t="s">
        <v>631</v>
      </c>
      <c r="F506" s="25" t="s">
        <v>632</v>
      </c>
      <c r="G506" s="25" t="s">
        <v>650</v>
      </c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6"/>
    </row>
    <row r="507" spans="1:30" x14ac:dyDescent="0.3">
      <c r="A507" s="34"/>
      <c r="B507" s="25" t="s">
        <v>655</v>
      </c>
      <c r="C507" s="25" t="s">
        <v>642</v>
      </c>
      <c r="D507" s="25" t="s">
        <v>344</v>
      </c>
      <c r="E507" s="25" t="s">
        <v>641</v>
      </c>
      <c r="F507" s="25" t="s">
        <v>632</v>
      </c>
      <c r="G507" s="25" t="s">
        <v>650</v>
      </c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6"/>
    </row>
    <row r="508" spans="1:30" x14ac:dyDescent="0.3">
      <c r="A508" s="34"/>
      <c r="B508" s="25" t="s">
        <v>976</v>
      </c>
      <c r="C508" s="25" t="s">
        <v>634</v>
      </c>
      <c r="D508" s="25" t="s">
        <v>88</v>
      </c>
      <c r="E508" s="25" t="s">
        <v>752</v>
      </c>
      <c r="F508" s="25" t="s">
        <v>724</v>
      </c>
      <c r="G508" s="25" t="s">
        <v>650</v>
      </c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6"/>
    </row>
    <row r="509" spans="1:30" x14ac:dyDescent="0.3">
      <c r="A509" s="34"/>
      <c r="B509" s="25" t="s">
        <v>977</v>
      </c>
      <c r="C509" s="25" t="s">
        <v>652</v>
      </c>
      <c r="D509" s="25" t="s">
        <v>349</v>
      </c>
      <c r="E509" s="25" t="s">
        <v>646</v>
      </c>
      <c r="F509" s="25" t="s">
        <v>864</v>
      </c>
      <c r="G509" s="25" t="s">
        <v>650</v>
      </c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6"/>
    </row>
    <row r="510" spans="1:30" ht="15" thickBot="1" x14ac:dyDescent="0.35">
      <c r="A510" s="38"/>
      <c r="B510" s="39" t="s">
        <v>901</v>
      </c>
      <c r="C510" s="39" t="s">
        <v>652</v>
      </c>
      <c r="D510" s="39" t="s">
        <v>348</v>
      </c>
      <c r="E510" s="39" t="s">
        <v>659</v>
      </c>
      <c r="F510" s="39" t="s">
        <v>830</v>
      </c>
      <c r="G510" s="39" t="s">
        <v>650</v>
      </c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1"/>
    </row>
    <row r="511" spans="1:30" x14ac:dyDescent="0.3">
      <c r="A511" s="30" t="s">
        <v>331</v>
      </c>
      <c r="B511" s="31" t="s">
        <v>978</v>
      </c>
      <c r="C511" s="32" t="s">
        <v>620</v>
      </c>
      <c r="D511" s="32" t="s">
        <v>332</v>
      </c>
      <c r="E511" s="32" t="s">
        <v>621</v>
      </c>
      <c r="F511" s="32"/>
      <c r="G511" s="32" t="s">
        <v>622</v>
      </c>
      <c r="H511" s="31" t="s">
        <v>623</v>
      </c>
      <c r="I511" s="31">
        <v>51</v>
      </c>
      <c r="J511" s="31" t="s">
        <v>626</v>
      </c>
      <c r="K511" s="31" t="s">
        <v>105</v>
      </c>
      <c r="L511" s="31" t="s">
        <v>624</v>
      </c>
      <c r="M511" s="31" t="s">
        <v>624</v>
      </c>
      <c r="N511" s="31" t="s">
        <v>624</v>
      </c>
      <c r="O511" s="31" t="s">
        <v>624</v>
      </c>
      <c r="P511" s="31" t="s">
        <v>624</v>
      </c>
      <c r="Q511" s="31" t="s">
        <v>624</v>
      </c>
      <c r="R511" s="31" t="s">
        <v>625</v>
      </c>
      <c r="S511" s="31" t="s">
        <v>625</v>
      </c>
      <c r="T511" s="31" t="s">
        <v>625</v>
      </c>
      <c r="U511" s="31" t="s">
        <v>625</v>
      </c>
      <c r="V511" s="31" t="s">
        <v>626</v>
      </c>
      <c r="W511" s="31" t="s">
        <v>625</v>
      </c>
      <c r="X511" s="31" t="s">
        <v>625</v>
      </c>
      <c r="Y511" s="31" t="s">
        <v>626</v>
      </c>
      <c r="Z511" s="31" t="s">
        <v>626</v>
      </c>
      <c r="AA511" s="31" t="s">
        <v>625</v>
      </c>
      <c r="AB511" s="31" t="s">
        <v>627</v>
      </c>
      <c r="AC511" s="31" t="s">
        <v>628</v>
      </c>
      <c r="AD511" s="33" t="s">
        <v>629</v>
      </c>
    </row>
    <row r="512" spans="1:30" x14ac:dyDescent="0.3">
      <c r="A512" s="34"/>
      <c r="B512" s="35"/>
      <c r="C512" s="25" t="s">
        <v>630</v>
      </c>
      <c r="D512" s="25" t="s">
        <v>333</v>
      </c>
      <c r="E512" s="25" t="s">
        <v>659</v>
      </c>
      <c r="F512" s="25" t="s">
        <v>815</v>
      </c>
      <c r="G512" s="25" t="s">
        <v>633</v>
      </c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6"/>
    </row>
    <row r="513" spans="1:30" x14ac:dyDescent="0.3">
      <c r="A513" s="34"/>
      <c r="B513" s="35"/>
      <c r="C513" s="25" t="s">
        <v>634</v>
      </c>
      <c r="D513" s="25" t="s">
        <v>334</v>
      </c>
      <c r="E513" s="25" t="s">
        <v>641</v>
      </c>
      <c r="F513" s="25" t="s">
        <v>632</v>
      </c>
      <c r="G513" s="25" t="s">
        <v>633</v>
      </c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6"/>
    </row>
    <row r="514" spans="1:30" x14ac:dyDescent="0.3">
      <c r="A514" s="34"/>
      <c r="B514" s="35"/>
      <c r="C514" s="25" t="s">
        <v>637</v>
      </c>
      <c r="D514" s="25" t="s">
        <v>233</v>
      </c>
      <c r="E514" s="25" t="s">
        <v>638</v>
      </c>
      <c r="F514" s="25" t="s">
        <v>639</v>
      </c>
      <c r="G514" s="25" t="s">
        <v>633</v>
      </c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6"/>
    </row>
    <row r="515" spans="1:30" x14ac:dyDescent="0.3">
      <c r="A515" s="34"/>
      <c r="B515" s="35"/>
      <c r="C515" s="25" t="s">
        <v>645</v>
      </c>
      <c r="D515" s="25" t="s">
        <v>335</v>
      </c>
      <c r="E515" s="25" t="s">
        <v>839</v>
      </c>
      <c r="F515" s="25" t="s">
        <v>636</v>
      </c>
      <c r="G515" s="25" t="s">
        <v>633</v>
      </c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6"/>
    </row>
    <row r="516" spans="1:30" x14ac:dyDescent="0.3">
      <c r="A516" s="34"/>
      <c r="B516" s="37"/>
      <c r="C516" s="25" t="s">
        <v>711</v>
      </c>
      <c r="D516" s="25" t="s">
        <v>336</v>
      </c>
      <c r="E516" s="25" t="s">
        <v>635</v>
      </c>
      <c r="F516" s="25" t="s">
        <v>636</v>
      </c>
      <c r="G516" s="25" t="s">
        <v>633</v>
      </c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6"/>
    </row>
    <row r="517" spans="1:30" x14ac:dyDescent="0.3">
      <c r="A517" s="34"/>
      <c r="B517" s="25" t="s">
        <v>626</v>
      </c>
      <c r="C517" s="25" t="s">
        <v>626</v>
      </c>
      <c r="D517" s="25" t="s">
        <v>979</v>
      </c>
      <c r="E517" s="25" t="s">
        <v>666</v>
      </c>
      <c r="F517" s="25" t="s">
        <v>667</v>
      </c>
      <c r="G517" s="25" t="s">
        <v>650</v>
      </c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6"/>
    </row>
    <row r="518" spans="1:30" x14ac:dyDescent="0.3">
      <c r="A518" s="34"/>
      <c r="B518" s="25" t="s">
        <v>626</v>
      </c>
      <c r="C518" s="25" t="s">
        <v>626</v>
      </c>
      <c r="D518" s="25" t="s">
        <v>905</v>
      </c>
      <c r="E518" s="25" t="s">
        <v>648</v>
      </c>
      <c r="F518" s="25" t="s">
        <v>649</v>
      </c>
      <c r="G518" s="25" t="s">
        <v>650</v>
      </c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6"/>
    </row>
    <row r="519" spans="1:30" x14ac:dyDescent="0.3">
      <c r="A519" s="34"/>
      <c r="B519" s="25" t="s">
        <v>785</v>
      </c>
      <c r="C519" s="25" t="s">
        <v>630</v>
      </c>
      <c r="D519" s="25" t="s">
        <v>338</v>
      </c>
      <c r="E519" s="25" t="s">
        <v>621</v>
      </c>
      <c r="F519" s="25" t="s">
        <v>653</v>
      </c>
      <c r="G519" s="25" t="s">
        <v>650</v>
      </c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6"/>
    </row>
    <row r="520" spans="1:30" x14ac:dyDescent="0.3">
      <c r="A520" s="34"/>
      <c r="B520" s="25" t="s">
        <v>787</v>
      </c>
      <c r="C520" s="25" t="s">
        <v>645</v>
      </c>
      <c r="D520" s="25" t="s">
        <v>334</v>
      </c>
      <c r="E520" s="25" t="s">
        <v>641</v>
      </c>
      <c r="F520" s="25" t="s">
        <v>632</v>
      </c>
      <c r="G520" s="25" t="s">
        <v>650</v>
      </c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6"/>
    </row>
    <row r="521" spans="1:30" x14ac:dyDescent="0.3">
      <c r="A521" s="34"/>
      <c r="B521" s="25" t="s">
        <v>980</v>
      </c>
      <c r="C521" s="25" t="s">
        <v>634</v>
      </c>
      <c r="D521" s="25" t="s">
        <v>233</v>
      </c>
      <c r="E521" s="25" t="s">
        <v>638</v>
      </c>
      <c r="F521" s="25" t="s">
        <v>639</v>
      </c>
      <c r="G521" s="25" t="s">
        <v>650</v>
      </c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6"/>
    </row>
    <row r="522" spans="1:30" ht="15" thickBot="1" x14ac:dyDescent="0.35">
      <c r="A522" s="38"/>
      <c r="B522" s="39" t="s">
        <v>981</v>
      </c>
      <c r="C522" s="39" t="s">
        <v>652</v>
      </c>
      <c r="D522" s="39" t="s">
        <v>339</v>
      </c>
      <c r="E522" s="39" t="s">
        <v>646</v>
      </c>
      <c r="F522" s="39" t="s">
        <v>864</v>
      </c>
      <c r="G522" s="39" t="s">
        <v>650</v>
      </c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1"/>
    </row>
    <row r="523" spans="1:30" x14ac:dyDescent="0.3">
      <c r="A523" s="30" t="s">
        <v>324</v>
      </c>
      <c r="B523" s="31" t="s">
        <v>982</v>
      </c>
      <c r="C523" s="32" t="s">
        <v>620</v>
      </c>
      <c r="D523" s="32" t="s">
        <v>325</v>
      </c>
      <c r="E523" s="32" t="s">
        <v>621</v>
      </c>
      <c r="F523" s="32"/>
      <c r="G523" s="32" t="s">
        <v>622</v>
      </c>
      <c r="H523" s="31" t="s">
        <v>623</v>
      </c>
      <c r="I523" s="31">
        <v>50</v>
      </c>
      <c r="J523" s="31" t="s">
        <v>626</v>
      </c>
      <c r="K523" s="31" t="s">
        <v>105</v>
      </c>
      <c r="L523" s="31" t="s">
        <v>624</v>
      </c>
      <c r="M523" s="31" t="s">
        <v>624</v>
      </c>
      <c r="N523" s="31" t="s">
        <v>624</v>
      </c>
      <c r="O523" s="31" t="s">
        <v>624</v>
      </c>
      <c r="P523" s="31" t="s">
        <v>624</v>
      </c>
      <c r="Q523" s="31" t="s">
        <v>624</v>
      </c>
      <c r="R523" s="31" t="s">
        <v>625</v>
      </c>
      <c r="S523" s="31" t="s">
        <v>625</v>
      </c>
      <c r="T523" s="31" t="s">
        <v>625</v>
      </c>
      <c r="U523" s="31" t="s">
        <v>625</v>
      </c>
      <c r="V523" s="31" t="s">
        <v>626</v>
      </c>
      <c r="W523" s="31" t="s">
        <v>625</v>
      </c>
      <c r="X523" s="31" t="s">
        <v>625</v>
      </c>
      <c r="Y523" s="31" t="s">
        <v>626</v>
      </c>
      <c r="Z523" s="31" t="s">
        <v>626</v>
      </c>
      <c r="AA523" s="31" t="s">
        <v>625</v>
      </c>
      <c r="AB523" s="31" t="s">
        <v>627</v>
      </c>
      <c r="AC523" s="31" t="s">
        <v>628</v>
      </c>
      <c r="AD523" s="33" t="s">
        <v>629</v>
      </c>
    </row>
    <row r="524" spans="1:30" x14ac:dyDescent="0.3">
      <c r="A524" s="34"/>
      <c r="B524" s="35"/>
      <c r="C524" s="25" t="s">
        <v>652</v>
      </c>
      <c r="D524" s="25" t="s">
        <v>326</v>
      </c>
      <c r="E524" s="25" t="s">
        <v>677</v>
      </c>
      <c r="F524" s="25" t="s">
        <v>859</v>
      </c>
      <c r="G524" s="25" t="s">
        <v>633</v>
      </c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6"/>
    </row>
    <row r="525" spans="1:30" x14ac:dyDescent="0.3">
      <c r="A525" s="34"/>
      <c r="B525" s="35"/>
      <c r="C525" s="25" t="s">
        <v>630</v>
      </c>
      <c r="D525" s="25" t="s">
        <v>327</v>
      </c>
      <c r="E525" s="25" t="s">
        <v>641</v>
      </c>
      <c r="F525" s="25" t="s">
        <v>632</v>
      </c>
      <c r="G525" s="25" t="s">
        <v>633</v>
      </c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6"/>
    </row>
    <row r="526" spans="1:30" x14ac:dyDescent="0.3">
      <c r="A526" s="34"/>
      <c r="B526" s="35"/>
      <c r="C526" s="25" t="s">
        <v>634</v>
      </c>
      <c r="D526" s="25" t="s">
        <v>42</v>
      </c>
      <c r="E526" s="25" t="s">
        <v>631</v>
      </c>
      <c r="F526" s="25" t="s">
        <v>632</v>
      </c>
      <c r="G526" s="25" t="s">
        <v>633</v>
      </c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6"/>
    </row>
    <row r="527" spans="1:30" x14ac:dyDescent="0.3">
      <c r="A527" s="34"/>
      <c r="B527" s="35"/>
      <c r="C527" s="25" t="s">
        <v>637</v>
      </c>
      <c r="D527" s="25" t="s">
        <v>88</v>
      </c>
      <c r="E527" s="25" t="s">
        <v>752</v>
      </c>
      <c r="F527" s="25" t="s">
        <v>724</v>
      </c>
      <c r="G527" s="25" t="s">
        <v>633</v>
      </c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6"/>
    </row>
    <row r="528" spans="1:30" x14ac:dyDescent="0.3">
      <c r="A528" s="34"/>
      <c r="B528" s="37"/>
      <c r="C528" s="25" t="s">
        <v>642</v>
      </c>
      <c r="D528" s="25" t="s">
        <v>328</v>
      </c>
      <c r="E528" s="25" t="s">
        <v>839</v>
      </c>
      <c r="F528" s="25" t="s">
        <v>636</v>
      </c>
      <c r="G528" s="25" t="s">
        <v>633</v>
      </c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6"/>
    </row>
    <row r="529" spans="1:30" x14ac:dyDescent="0.3">
      <c r="A529" s="34"/>
      <c r="B529" s="25" t="s">
        <v>795</v>
      </c>
      <c r="C529" s="25" t="s">
        <v>630</v>
      </c>
      <c r="D529" s="25" t="s">
        <v>329</v>
      </c>
      <c r="E529" s="25" t="s">
        <v>621</v>
      </c>
      <c r="F529" s="25" t="s">
        <v>653</v>
      </c>
      <c r="G529" s="25" t="s">
        <v>650</v>
      </c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6"/>
    </row>
    <row r="530" spans="1:30" x14ac:dyDescent="0.3">
      <c r="A530" s="34"/>
      <c r="B530" s="25" t="s">
        <v>983</v>
      </c>
      <c r="C530" s="25" t="s">
        <v>630</v>
      </c>
      <c r="D530" s="25" t="s">
        <v>42</v>
      </c>
      <c r="E530" s="25" t="s">
        <v>631</v>
      </c>
      <c r="F530" s="25" t="s">
        <v>632</v>
      </c>
      <c r="G530" s="25" t="s">
        <v>650</v>
      </c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6"/>
    </row>
    <row r="531" spans="1:30" x14ac:dyDescent="0.3">
      <c r="A531" s="34"/>
      <c r="B531" s="25" t="s">
        <v>797</v>
      </c>
      <c r="C531" s="25" t="s">
        <v>652</v>
      </c>
      <c r="D531" s="25" t="s">
        <v>327</v>
      </c>
      <c r="E531" s="25" t="s">
        <v>641</v>
      </c>
      <c r="F531" s="25" t="s">
        <v>632</v>
      </c>
      <c r="G531" s="25" t="s">
        <v>650</v>
      </c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6"/>
    </row>
    <row r="532" spans="1:30" ht="15" thickBot="1" x14ac:dyDescent="0.35">
      <c r="A532" s="38"/>
      <c r="B532" s="39" t="s">
        <v>976</v>
      </c>
      <c r="C532" s="39" t="s">
        <v>637</v>
      </c>
      <c r="D532" s="39" t="s">
        <v>88</v>
      </c>
      <c r="E532" s="39" t="s">
        <v>752</v>
      </c>
      <c r="F532" s="39" t="s">
        <v>724</v>
      </c>
      <c r="G532" s="39" t="s">
        <v>650</v>
      </c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1"/>
    </row>
    <row r="533" spans="1:30" x14ac:dyDescent="0.3">
      <c r="A533" s="30" t="s">
        <v>317</v>
      </c>
      <c r="B533" s="31" t="s">
        <v>984</v>
      </c>
      <c r="C533" s="32" t="s">
        <v>620</v>
      </c>
      <c r="D533" s="32" t="s">
        <v>318</v>
      </c>
      <c r="E533" s="32" t="s">
        <v>621</v>
      </c>
      <c r="F533" s="32"/>
      <c r="G533" s="32" t="s">
        <v>622</v>
      </c>
      <c r="H533" s="31" t="s">
        <v>623</v>
      </c>
      <c r="I533" s="31">
        <v>49</v>
      </c>
      <c r="J533" s="31" t="s">
        <v>626</v>
      </c>
      <c r="K533" s="31" t="s">
        <v>105</v>
      </c>
      <c r="L533" s="31" t="s">
        <v>624</v>
      </c>
      <c r="M533" s="31" t="s">
        <v>624</v>
      </c>
      <c r="N533" s="31" t="s">
        <v>624</v>
      </c>
      <c r="O533" s="31" t="s">
        <v>624</v>
      </c>
      <c r="P533" s="31" t="s">
        <v>624</v>
      </c>
      <c r="Q533" s="31" t="s">
        <v>624</v>
      </c>
      <c r="R533" s="31" t="s">
        <v>625</v>
      </c>
      <c r="S533" s="31" t="s">
        <v>625</v>
      </c>
      <c r="T533" s="31" t="s">
        <v>625</v>
      </c>
      <c r="U533" s="31" t="s">
        <v>625</v>
      </c>
      <c r="V533" s="31" t="s">
        <v>626</v>
      </c>
      <c r="W533" s="31" t="s">
        <v>625</v>
      </c>
      <c r="X533" s="31" t="s">
        <v>625</v>
      </c>
      <c r="Y533" s="31" t="s">
        <v>626</v>
      </c>
      <c r="Z533" s="31" t="s">
        <v>626</v>
      </c>
      <c r="AA533" s="31" t="s">
        <v>625</v>
      </c>
      <c r="AB533" s="31" t="s">
        <v>627</v>
      </c>
      <c r="AC533" s="31" t="s">
        <v>628</v>
      </c>
      <c r="AD533" s="33" t="s">
        <v>629</v>
      </c>
    </row>
    <row r="534" spans="1:30" x14ac:dyDescent="0.3">
      <c r="A534" s="34"/>
      <c r="B534" s="35"/>
      <c r="C534" s="25" t="s">
        <v>630</v>
      </c>
      <c r="D534" s="25" t="s">
        <v>319</v>
      </c>
      <c r="E534" s="25" t="s">
        <v>641</v>
      </c>
      <c r="F534" s="25" t="s">
        <v>632</v>
      </c>
      <c r="G534" s="25" t="s">
        <v>633</v>
      </c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6"/>
    </row>
    <row r="535" spans="1:30" x14ac:dyDescent="0.3">
      <c r="A535" s="34"/>
      <c r="B535" s="35"/>
      <c r="C535" s="25" t="s">
        <v>634</v>
      </c>
      <c r="D535" s="25" t="s">
        <v>28</v>
      </c>
      <c r="E535" s="25" t="s">
        <v>631</v>
      </c>
      <c r="F535" s="25" t="s">
        <v>632</v>
      </c>
      <c r="G535" s="25" t="s">
        <v>633</v>
      </c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6"/>
    </row>
    <row r="536" spans="1:30" x14ac:dyDescent="0.3">
      <c r="A536" s="34"/>
      <c r="B536" s="35"/>
      <c r="C536" s="25" t="s">
        <v>637</v>
      </c>
      <c r="D536" s="25" t="s">
        <v>320</v>
      </c>
      <c r="E536" s="25" t="s">
        <v>677</v>
      </c>
      <c r="F536" s="25" t="s">
        <v>859</v>
      </c>
      <c r="G536" s="25" t="s">
        <v>633</v>
      </c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6"/>
    </row>
    <row r="537" spans="1:30" x14ac:dyDescent="0.3">
      <c r="A537" s="34"/>
      <c r="B537" s="37"/>
      <c r="C537" s="25" t="s">
        <v>642</v>
      </c>
      <c r="D537" s="25" t="s">
        <v>321</v>
      </c>
      <c r="E537" s="25" t="s">
        <v>839</v>
      </c>
      <c r="F537" s="25" t="s">
        <v>636</v>
      </c>
      <c r="G537" s="25" t="s">
        <v>633</v>
      </c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6"/>
    </row>
    <row r="538" spans="1:30" x14ac:dyDescent="0.3">
      <c r="A538" s="34"/>
      <c r="B538" s="25" t="s">
        <v>803</v>
      </c>
      <c r="C538" s="25" t="s">
        <v>630</v>
      </c>
      <c r="D538" s="25" t="s">
        <v>322</v>
      </c>
      <c r="E538" s="25" t="s">
        <v>621</v>
      </c>
      <c r="F538" s="25" t="s">
        <v>653</v>
      </c>
      <c r="G538" s="25" t="s">
        <v>650</v>
      </c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6"/>
    </row>
    <row r="539" spans="1:30" x14ac:dyDescent="0.3">
      <c r="A539" s="34"/>
      <c r="B539" s="25" t="s">
        <v>985</v>
      </c>
      <c r="C539" s="25" t="s">
        <v>652</v>
      </c>
      <c r="D539" s="25" t="s">
        <v>28</v>
      </c>
      <c r="E539" s="25" t="s">
        <v>631</v>
      </c>
      <c r="F539" s="25" t="s">
        <v>632</v>
      </c>
      <c r="G539" s="25" t="s">
        <v>650</v>
      </c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6"/>
    </row>
    <row r="540" spans="1:30" ht="15" thickBot="1" x14ac:dyDescent="0.35">
      <c r="A540" s="38"/>
      <c r="B540" s="39" t="s">
        <v>805</v>
      </c>
      <c r="C540" s="39" t="s">
        <v>645</v>
      </c>
      <c r="D540" s="39" t="s">
        <v>319</v>
      </c>
      <c r="E540" s="39" t="s">
        <v>641</v>
      </c>
      <c r="F540" s="39" t="s">
        <v>632</v>
      </c>
      <c r="G540" s="39" t="s">
        <v>650</v>
      </c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1"/>
    </row>
    <row r="541" spans="1:30" x14ac:dyDescent="0.3">
      <c r="A541" s="30" t="s">
        <v>290</v>
      </c>
      <c r="B541" s="31" t="s">
        <v>986</v>
      </c>
      <c r="C541" s="32" t="s">
        <v>620</v>
      </c>
      <c r="D541" s="32" t="s">
        <v>291</v>
      </c>
      <c r="E541" s="32" t="s">
        <v>621</v>
      </c>
      <c r="F541" s="32"/>
      <c r="G541" s="32" t="s">
        <v>622</v>
      </c>
      <c r="H541" s="31" t="s">
        <v>623</v>
      </c>
      <c r="I541" s="31">
        <v>46</v>
      </c>
      <c r="J541" s="31">
        <v>22</v>
      </c>
      <c r="K541" s="31" t="s">
        <v>105</v>
      </c>
      <c r="L541" s="31" t="s">
        <v>624</v>
      </c>
      <c r="M541" s="31" t="s">
        <v>624</v>
      </c>
      <c r="N541" s="31" t="s">
        <v>624</v>
      </c>
      <c r="O541" s="31" t="s">
        <v>624</v>
      </c>
      <c r="P541" s="31" t="s">
        <v>624</v>
      </c>
      <c r="Q541" s="31" t="s">
        <v>624</v>
      </c>
      <c r="R541" s="31" t="s">
        <v>625</v>
      </c>
      <c r="S541" s="31" t="s">
        <v>625</v>
      </c>
      <c r="T541" s="31" t="s">
        <v>625</v>
      </c>
      <c r="U541" s="31" t="s">
        <v>625</v>
      </c>
      <c r="V541" s="31" t="s">
        <v>626</v>
      </c>
      <c r="W541" s="31" t="s">
        <v>625</v>
      </c>
      <c r="X541" s="31" t="s">
        <v>625</v>
      </c>
      <c r="Y541" s="31" t="s">
        <v>626</v>
      </c>
      <c r="Z541" s="31" t="s">
        <v>626</v>
      </c>
      <c r="AA541" s="31" t="s">
        <v>625</v>
      </c>
      <c r="AB541" s="31" t="s">
        <v>627</v>
      </c>
      <c r="AC541" s="31" t="s">
        <v>628</v>
      </c>
      <c r="AD541" s="33" t="s">
        <v>629</v>
      </c>
    </row>
    <row r="542" spans="1:30" x14ac:dyDescent="0.3">
      <c r="A542" s="34"/>
      <c r="B542" s="35"/>
      <c r="C542" s="25" t="s">
        <v>630</v>
      </c>
      <c r="D542" s="25" t="s">
        <v>292</v>
      </c>
      <c r="E542" s="25" t="s">
        <v>631</v>
      </c>
      <c r="F542" s="25" t="s">
        <v>632</v>
      </c>
      <c r="G542" s="25" t="s">
        <v>633</v>
      </c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6"/>
    </row>
    <row r="543" spans="1:30" x14ac:dyDescent="0.3">
      <c r="A543" s="34"/>
      <c r="B543" s="35"/>
      <c r="C543" s="25" t="s">
        <v>634</v>
      </c>
      <c r="D543" s="25" t="s">
        <v>76</v>
      </c>
      <c r="E543" s="25" t="s">
        <v>752</v>
      </c>
      <c r="F543" s="25" t="s">
        <v>763</v>
      </c>
      <c r="G543" s="25" t="s">
        <v>633</v>
      </c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6"/>
    </row>
    <row r="544" spans="1:30" x14ac:dyDescent="0.3">
      <c r="A544" s="34"/>
      <c r="B544" s="35"/>
      <c r="C544" s="25" t="s">
        <v>637</v>
      </c>
      <c r="D544" s="25" t="s">
        <v>293</v>
      </c>
      <c r="E544" s="25" t="s">
        <v>648</v>
      </c>
      <c r="F544" s="25" t="s">
        <v>859</v>
      </c>
      <c r="G544" s="25" t="s">
        <v>633</v>
      </c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6"/>
    </row>
    <row r="545" spans="1:30" x14ac:dyDescent="0.3">
      <c r="A545" s="34"/>
      <c r="B545" s="35"/>
      <c r="C545" s="25" t="s">
        <v>640</v>
      </c>
      <c r="D545" s="25" t="s">
        <v>294</v>
      </c>
      <c r="E545" s="25" t="s">
        <v>641</v>
      </c>
      <c r="F545" s="25" t="s">
        <v>632</v>
      </c>
      <c r="G545" s="25" t="s">
        <v>633</v>
      </c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6"/>
    </row>
    <row r="546" spans="1:30" x14ac:dyDescent="0.3">
      <c r="A546" s="34"/>
      <c r="B546" s="37"/>
      <c r="C546" s="25" t="s">
        <v>642</v>
      </c>
      <c r="D546" s="25" t="s">
        <v>295</v>
      </c>
      <c r="E546" s="25" t="s">
        <v>839</v>
      </c>
      <c r="F546" s="25" t="s">
        <v>636</v>
      </c>
      <c r="G546" s="25" t="s">
        <v>633</v>
      </c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6"/>
    </row>
    <row r="547" spans="1:30" x14ac:dyDescent="0.3">
      <c r="A547" s="34"/>
      <c r="B547" s="25" t="s">
        <v>626</v>
      </c>
      <c r="C547" s="25" t="s">
        <v>626</v>
      </c>
      <c r="D547" s="25" t="s">
        <v>296</v>
      </c>
      <c r="E547" s="25" t="s">
        <v>648</v>
      </c>
      <c r="F547" s="25" t="s">
        <v>649</v>
      </c>
      <c r="G547" s="25" t="s">
        <v>650</v>
      </c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6"/>
    </row>
    <row r="548" spans="1:30" x14ac:dyDescent="0.3">
      <c r="A548" s="34"/>
      <c r="B548" s="25" t="s">
        <v>955</v>
      </c>
      <c r="C548" s="25" t="s">
        <v>630</v>
      </c>
      <c r="D548" s="25" t="s">
        <v>280</v>
      </c>
      <c r="E548" s="25" t="s">
        <v>956</v>
      </c>
      <c r="F548" s="25" t="s">
        <v>731</v>
      </c>
      <c r="G548" s="25" t="s">
        <v>650</v>
      </c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6"/>
    </row>
    <row r="549" spans="1:30" x14ac:dyDescent="0.3">
      <c r="A549" s="34"/>
      <c r="B549" s="25" t="s">
        <v>810</v>
      </c>
      <c r="C549" s="25" t="s">
        <v>630</v>
      </c>
      <c r="D549" s="25" t="s">
        <v>297</v>
      </c>
      <c r="E549" s="25" t="s">
        <v>621</v>
      </c>
      <c r="F549" s="25" t="s">
        <v>653</v>
      </c>
      <c r="G549" s="25" t="s">
        <v>650</v>
      </c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6"/>
    </row>
    <row r="550" spans="1:30" x14ac:dyDescent="0.3">
      <c r="A550" s="34"/>
      <c r="B550" s="25" t="s">
        <v>819</v>
      </c>
      <c r="C550" s="25" t="s">
        <v>652</v>
      </c>
      <c r="D550" s="25" t="s">
        <v>292</v>
      </c>
      <c r="E550" s="25" t="s">
        <v>631</v>
      </c>
      <c r="F550" s="25" t="s">
        <v>632</v>
      </c>
      <c r="G550" s="25" t="s">
        <v>650</v>
      </c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6"/>
    </row>
    <row r="551" spans="1:30" x14ac:dyDescent="0.3">
      <c r="A551" s="34"/>
      <c r="B551" s="25" t="s">
        <v>811</v>
      </c>
      <c r="C551" s="25" t="s">
        <v>711</v>
      </c>
      <c r="D551" s="25" t="s">
        <v>294</v>
      </c>
      <c r="E551" s="25" t="s">
        <v>641</v>
      </c>
      <c r="F551" s="25" t="s">
        <v>632</v>
      </c>
      <c r="G551" s="25" t="s">
        <v>650</v>
      </c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6"/>
    </row>
    <row r="552" spans="1:30" x14ac:dyDescent="0.3">
      <c r="A552" s="34"/>
      <c r="B552" s="25" t="s">
        <v>768</v>
      </c>
      <c r="C552" s="25" t="s">
        <v>630</v>
      </c>
      <c r="D552" s="25" t="s">
        <v>76</v>
      </c>
      <c r="E552" s="25" t="s">
        <v>752</v>
      </c>
      <c r="F552" s="25" t="s">
        <v>763</v>
      </c>
      <c r="G552" s="25" t="s">
        <v>650</v>
      </c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6"/>
    </row>
    <row r="553" spans="1:30" ht="15" thickBot="1" x14ac:dyDescent="0.35">
      <c r="A553" s="38"/>
      <c r="B553" s="39" t="s">
        <v>987</v>
      </c>
      <c r="C553" s="39" t="s">
        <v>652</v>
      </c>
      <c r="D553" s="39" t="s">
        <v>298</v>
      </c>
      <c r="E553" s="39" t="s">
        <v>646</v>
      </c>
      <c r="F553" s="39" t="s">
        <v>864</v>
      </c>
      <c r="G553" s="39" t="s">
        <v>650</v>
      </c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1"/>
    </row>
    <row r="554" spans="1:30" x14ac:dyDescent="0.3">
      <c r="A554" s="30" t="s">
        <v>282</v>
      </c>
      <c r="B554" s="31" t="s">
        <v>988</v>
      </c>
      <c r="C554" s="32" t="s">
        <v>620</v>
      </c>
      <c r="D554" s="32" t="s">
        <v>283</v>
      </c>
      <c r="E554" s="32" t="s">
        <v>621</v>
      </c>
      <c r="F554" s="32"/>
      <c r="G554" s="32" t="s">
        <v>622</v>
      </c>
      <c r="H554" s="31" t="s">
        <v>702</v>
      </c>
      <c r="I554" s="31">
        <v>45</v>
      </c>
      <c r="J554" s="31">
        <v>21</v>
      </c>
      <c r="K554" s="31" t="s">
        <v>105</v>
      </c>
      <c r="L554" s="31" t="s">
        <v>624</v>
      </c>
      <c r="M554" s="31" t="s">
        <v>624</v>
      </c>
      <c r="N554" s="31" t="s">
        <v>624</v>
      </c>
      <c r="O554" s="31" t="s">
        <v>624</v>
      </c>
      <c r="P554" s="31" t="s">
        <v>624</v>
      </c>
      <c r="Q554" s="31" t="s">
        <v>624</v>
      </c>
      <c r="R554" s="31" t="s">
        <v>625</v>
      </c>
      <c r="S554" s="31" t="s">
        <v>625</v>
      </c>
      <c r="T554" s="31" t="s">
        <v>625</v>
      </c>
      <c r="U554" s="31" t="s">
        <v>625</v>
      </c>
      <c r="V554" s="31" t="s">
        <v>626</v>
      </c>
      <c r="W554" s="31" t="s">
        <v>625</v>
      </c>
      <c r="X554" s="31" t="s">
        <v>625</v>
      </c>
      <c r="Y554" s="31" t="s">
        <v>625</v>
      </c>
      <c r="Z554" s="31" t="s">
        <v>626</v>
      </c>
      <c r="AA554" s="31" t="s">
        <v>625</v>
      </c>
      <c r="AB554" s="31" t="s">
        <v>627</v>
      </c>
      <c r="AC554" s="31" t="s">
        <v>628</v>
      </c>
      <c r="AD554" s="33" t="s">
        <v>706</v>
      </c>
    </row>
    <row r="555" spans="1:30" x14ac:dyDescent="0.3">
      <c r="A555" s="34"/>
      <c r="B555" s="35"/>
      <c r="C555" s="25" t="s">
        <v>652</v>
      </c>
      <c r="D555" s="25" t="s">
        <v>271</v>
      </c>
      <c r="E555" s="25" t="s">
        <v>956</v>
      </c>
      <c r="F555" s="25" t="s">
        <v>743</v>
      </c>
      <c r="G555" s="25" t="s">
        <v>633</v>
      </c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6"/>
    </row>
    <row r="556" spans="1:30" x14ac:dyDescent="0.3">
      <c r="A556" s="34"/>
      <c r="B556" s="35"/>
      <c r="C556" s="25" t="s">
        <v>630</v>
      </c>
      <c r="D556" s="25" t="s">
        <v>284</v>
      </c>
      <c r="E556" s="25" t="s">
        <v>631</v>
      </c>
      <c r="F556" s="25" t="s">
        <v>632</v>
      </c>
      <c r="G556" s="25" t="s">
        <v>633</v>
      </c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6"/>
    </row>
    <row r="557" spans="1:30" x14ac:dyDescent="0.3">
      <c r="A557" s="34"/>
      <c r="B557" s="35"/>
      <c r="C557" s="25" t="s">
        <v>634</v>
      </c>
      <c r="D557" s="25" t="s">
        <v>41</v>
      </c>
      <c r="E557" s="25" t="s">
        <v>752</v>
      </c>
      <c r="F557" s="25" t="s">
        <v>692</v>
      </c>
      <c r="G557" s="25" t="s">
        <v>633</v>
      </c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6"/>
    </row>
    <row r="558" spans="1:30" x14ac:dyDescent="0.3">
      <c r="A558" s="34"/>
      <c r="B558" s="35"/>
      <c r="C558" s="25" t="s">
        <v>637</v>
      </c>
      <c r="D558" s="25" t="s">
        <v>285</v>
      </c>
      <c r="E558" s="25" t="s">
        <v>648</v>
      </c>
      <c r="F558" s="25" t="s">
        <v>859</v>
      </c>
      <c r="G558" s="25" t="s">
        <v>633</v>
      </c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6"/>
    </row>
    <row r="559" spans="1:30" x14ac:dyDescent="0.3">
      <c r="A559" s="34"/>
      <c r="B559" s="35"/>
      <c r="C559" s="25" t="s">
        <v>640</v>
      </c>
      <c r="D559" s="25" t="s">
        <v>126</v>
      </c>
      <c r="E559" s="25" t="s">
        <v>760</v>
      </c>
      <c r="F559" s="25" t="s">
        <v>693</v>
      </c>
      <c r="G559" s="25" t="s">
        <v>633</v>
      </c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6"/>
    </row>
    <row r="560" spans="1:30" x14ac:dyDescent="0.3">
      <c r="A560" s="34"/>
      <c r="B560" s="35"/>
      <c r="C560" s="25" t="s">
        <v>642</v>
      </c>
      <c r="D560" s="25" t="s">
        <v>286</v>
      </c>
      <c r="E560" s="25" t="s">
        <v>839</v>
      </c>
      <c r="F560" s="25" t="s">
        <v>636</v>
      </c>
      <c r="G560" s="25" t="s">
        <v>633</v>
      </c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6"/>
    </row>
    <row r="561" spans="1:30" x14ac:dyDescent="0.3">
      <c r="A561" s="34"/>
      <c r="B561" s="37"/>
      <c r="C561" s="25" t="s">
        <v>645</v>
      </c>
      <c r="D561" s="25" t="s">
        <v>260</v>
      </c>
      <c r="E561" s="25" t="s">
        <v>712</v>
      </c>
      <c r="F561" s="25" t="s">
        <v>943</v>
      </c>
      <c r="G561" s="25" t="s">
        <v>633</v>
      </c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6"/>
    </row>
    <row r="562" spans="1:30" x14ac:dyDescent="0.3">
      <c r="A562" s="34"/>
      <c r="B562" s="25" t="s">
        <v>626</v>
      </c>
      <c r="C562" s="25" t="s">
        <v>626</v>
      </c>
      <c r="D562" s="25" t="s">
        <v>287</v>
      </c>
      <c r="E562" s="25" t="s">
        <v>648</v>
      </c>
      <c r="F562" s="25" t="s">
        <v>649</v>
      </c>
      <c r="G562" s="25" t="s">
        <v>650</v>
      </c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6"/>
    </row>
    <row r="563" spans="1:30" x14ac:dyDescent="0.3">
      <c r="A563" s="34"/>
      <c r="B563" s="25" t="s">
        <v>818</v>
      </c>
      <c r="C563" s="25" t="s">
        <v>630</v>
      </c>
      <c r="D563" s="25" t="s">
        <v>288</v>
      </c>
      <c r="E563" s="25" t="s">
        <v>621</v>
      </c>
      <c r="F563" s="25" t="s">
        <v>653</v>
      </c>
      <c r="G563" s="25" t="s">
        <v>650</v>
      </c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6"/>
    </row>
    <row r="564" spans="1:30" x14ac:dyDescent="0.3">
      <c r="A564" s="34"/>
      <c r="B564" s="25" t="s">
        <v>826</v>
      </c>
      <c r="C564" s="25" t="s">
        <v>652</v>
      </c>
      <c r="D564" s="25" t="s">
        <v>284</v>
      </c>
      <c r="E564" s="25" t="s">
        <v>631</v>
      </c>
      <c r="F564" s="25" t="s">
        <v>632</v>
      </c>
      <c r="G564" s="25" t="s">
        <v>650</v>
      </c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6"/>
    </row>
    <row r="565" spans="1:30" x14ac:dyDescent="0.3">
      <c r="A565" s="34"/>
      <c r="B565" s="25" t="s">
        <v>946</v>
      </c>
      <c r="C565" s="25" t="s">
        <v>642</v>
      </c>
      <c r="D565" s="25" t="s">
        <v>260</v>
      </c>
      <c r="E565" s="25" t="s">
        <v>712</v>
      </c>
      <c r="F565" s="25" t="s">
        <v>943</v>
      </c>
      <c r="G565" s="25" t="s">
        <v>650</v>
      </c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6"/>
    </row>
    <row r="566" spans="1:30" x14ac:dyDescent="0.3">
      <c r="A566" s="34"/>
      <c r="B566" s="25" t="s">
        <v>989</v>
      </c>
      <c r="C566" s="25" t="s">
        <v>630</v>
      </c>
      <c r="D566" s="25" t="s">
        <v>41</v>
      </c>
      <c r="E566" s="25" t="s">
        <v>752</v>
      </c>
      <c r="F566" s="25" t="s">
        <v>692</v>
      </c>
      <c r="G566" s="25" t="s">
        <v>650</v>
      </c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6"/>
    </row>
    <row r="567" spans="1:30" x14ac:dyDescent="0.3">
      <c r="A567" s="34"/>
      <c r="B567" s="25" t="s">
        <v>990</v>
      </c>
      <c r="C567" s="25" t="s">
        <v>652</v>
      </c>
      <c r="D567" s="25" t="s">
        <v>83</v>
      </c>
      <c r="E567" s="25" t="s">
        <v>646</v>
      </c>
      <c r="F567" s="25" t="s">
        <v>864</v>
      </c>
      <c r="G567" s="25" t="s">
        <v>650</v>
      </c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6"/>
    </row>
    <row r="568" spans="1:30" ht="15" thickBot="1" x14ac:dyDescent="0.35">
      <c r="A568" s="38"/>
      <c r="B568" s="39" t="s">
        <v>770</v>
      </c>
      <c r="C568" s="39" t="s">
        <v>630</v>
      </c>
      <c r="D568" s="39" t="s">
        <v>126</v>
      </c>
      <c r="E568" s="39" t="s">
        <v>760</v>
      </c>
      <c r="F568" s="39" t="s">
        <v>693</v>
      </c>
      <c r="G568" s="39" t="s">
        <v>650</v>
      </c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1"/>
    </row>
    <row r="569" spans="1:30" x14ac:dyDescent="0.3">
      <c r="A569" s="30" t="s">
        <v>275</v>
      </c>
      <c r="B569" s="31" t="s">
        <v>991</v>
      </c>
      <c r="C569" s="32" t="s">
        <v>620</v>
      </c>
      <c r="D569" s="32" t="s">
        <v>276</v>
      </c>
      <c r="E569" s="32" t="s">
        <v>621</v>
      </c>
      <c r="F569" s="32"/>
      <c r="G569" s="32" t="s">
        <v>622</v>
      </c>
      <c r="H569" s="31" t="s">
        <v>772</v>
      </c>
      <c r="I569" s="31">
        <v>44</v>
      </c>
      <c r="J569" s="31">
        <v>20</v>
      </c>
      <c r="K569" s="31" t="s">
        <v>105</v>
      </c>
      <c r="L569" s="31" t="s">
        <v>624</v>
      </c>
      <c r="M569" s="31" t="s">
        <v>624</v>
      </c>
      <c r="N569" s="31" t="s">
        <v>624</v>
      </c>
      <c r="O569" s="31" t="s">
        <v>624</v>
      </c>
      <c r="P569" s="31" t="s">
        <v>624</v>
      </c>
      <c r="Q569" s="31" t="s">
        <v>624</v>
      </c>
      <c r="R569" s="31" t="s">
        <v>625</v>
      </c>
      <c r="S569" s="31" t="s">
        <v>625</v>
      </c>
      <c r="T569" s="31" t="s">
        <v>625</v>
      </c>
      <c r="U569" s="31" t="s">
        <v>625</v>
      </c>
      <c r="V569" s="31" t="s">
        <v>703</v>
      </c>
      <c r="W569" s="31" t="s">
        <v>625</v>
      </c>
      <c r="X569" s="31" t="s">
        <v>625</v>
      </c>
      <c r="Y569" s="31" t="s">
        <v>625</v>
      </c>
      <c r="Z569" s="31" t="s">
        <v>626</v>
      </c>
      <c r="AA569" s="31" t="s">
        <v>625</v>
      </c>
      <c r="AB569" s="31" t="s">
        <v>627</v>
      </c>
      <c r="AC569" s="31" t="s">
        <v>992</v>
      </c>
      <c r="AD569" s="33" t="s">
        <v>775</v>
      </c>
    </row>
    <row r="570" spans="1:30" x14ac:dyDescent="0.3">
      <c r="A570" s="34"/>
      <c r="B570" s="35"/>
      <c r="C570" s="25" t="s">
        <v>652</v>
      </c>
      <c r="D570" s="25" t="s">
        <v>87</v>
      </c>
      <c r="E570" s="25" t="s">
        <v>725</v>
      </c>
      <c r="F570" s="25" t="s">
        <v>689</v>
      </c>
      <c r="G570" s="25" t="s">
        <v>633</v>
      </c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6"/>
    </row>
    <row r="571" spans="1:30" x14ac:dyDescent="0.3">
      <c r="A571" s="34"/>
      <c r="B571" s="35"/>
      <c r="C571" s="25" t="s">
        <v>630</v>
      </c>
      <c r="D571" s="25" t="s">
        <v>277</v>
      </c>
      <c r="E571" s="25" t="s">
        <v>641</v>
      </c>
      <c r="F571" s="25" t="s">
        <v>632</v>
      </c>
      <c r="G571" s="25" t="s">
        <v>633</v>
      </c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6"/>
    </row>
    <row r="572" spans="1:30" x14ac:dyDescent="0.3">
      <c r="A572" s="34"/>
      <c r="B572" s="35"/>
      <c r="C572" s="25" t="s">
        <v>637</v>
      </c>
      <c r="D572" s="25" t="s">
        <v>278</v>
      </c>
      <c r="E572" s="25" t="s">
        <v>712</v>
      </c>
      <c r="F572" s="25" t="s">
        <v>838</v>
      </c>
      <c r="G572" s="25" t="s">
        <v>633</v>
      </c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6"/>
    </row>
    <row r="573" spans="1:30" x14ac:dyDescent="0.3">
      <c r="A573" s="34"/>
      <c r="B573" s="35"/>
      <c r="C573" s="25" t="s">
        <v>642</v>
      </c>
      <c r="D573" s="25" t="s">
        <v>233</v>
      </c>
      <c r="E573" s="25" t="s">
        <v>638</v>
      </c>
      <c r="F573" s="25" t="s">
        <v>639</v>
      </c>
      <c r="G573" s="25" t="s">
        <v>633</v>
      </c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6"/>
    </row>
    <row r="574" spans="1:30" x14ac:dyDescent="0.3">
      <c r="A574" s="34"/>
      <c r="B574" s="37"/>
      <c r="C574" s="25" t="s">
        <v>645</v>
      </c>
      <c r="D574" s="25" t="s">
        <v>266</v>
      </c>
      <c r="E574" s="25" t="s">
        <v>712</v>
      </c>
      <c r="F574" s="25" t="s">
        <v>713</v>
      </c>
      <c r="G574" s="25" t="s">
        <v>633</v>
      </c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6"/>
    </row>
    <row r="575" spans="1:30" x14ac:dyDescent="0.3">
      <c r="A575" s="34"/>
      <c r="B575" s="25" t="s">
        <v>626</v>
      </c>
      <c r="C575" s="25" t="s">
        <v>626</v>
      </c>
      <c r="D575" s="25" t="s">
        <v>279</v>
      </c>
      <c r="E575" s="25" t="s">
        <v>648</v>
      </c>
      <c r="F575" s="25" t="s">
        <v>649</v>
      </c>
      <c r="G575" s="25" t="s">
        <v>650</v>
      </c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6"/>
    </row>
    <row r="576" spans="1:30" x14ac:dyDescent="0.3">
      <c r="A576" s="34"/>
      <c r="B576" s="25" t="s">
        <v>955</v>
      </c>
      <c r="C576" s="25" t="s">
        <v>652</v>
      </c>
      <c r="D576" s="25" t="s">
        <v>280</v>
      </c>
      <c r="E576" s="25" t="s">
        <v>956</v>
      </c>
      <c r="F576" s="25" t="s">
        <v>731</v>
      </c>
      <c r="G576" s="25" t="s">
        <v>650</v>
      </c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6"/>
    </row>
    <row r="577" spans="1:30" x14ac:dyDescent="0.3">
      <c r="A577" s="34"/>
      <c r="B577" s="25" t="s">
        <v>965</v>
      </c>
      <c r="C577" s="25" t="s">
        <v>640</v>
      </c>
      <c r="D577" s="25" t="s">
        <v>277</v>
      </c>
      <c r="E577" s="25" t="s">
        <v>641</v>
      </c>
      <c r="F577" s="25" t="s">
        <v>632</v>
      </c>
      <c r="G577" s="25" t="s">
        <v>650</v>
      </c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6"/>
    </row>
    <row r="578" spans="1:30" x14ac:dyDescent="0.3">
      <c r="A578" s="34"/>
      <c r="B578" s="25" t="s">
        <v>980</v>
      </c>
      <c r="C578" s="25" t="s">
        <v>652</v>
      </c>
      <c r="D578" s="25" t="s">
        <v>233</v>
      </c>
      <c r="E578" s="25" t="s">
        <v>638</v>
      </c>
      <c r="F578" s="25" t="s">
        <v>639</v>
      </c>
      <c r="G578" s="25" t="s">
        <v>650</v>
      </c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6"/>
    </row>
    <row r="579" spans="1:30" x14ac:dyDescent="0.3">
      <c r="A579" s="34"/>
      <c r="B579" s="25" t="s">
        <v>759</v>
      </c>
      <c r="C579" s="25" t="s">
        <v>640</v>
      </c>
      <c r="D579" s="25" t="s">
        <v>137</v>
      </c>
      <c r="E579" s="25" t="s">
        <v>760</v>
      </c>
      <c r="F579" s="25" t="s">
        <v>686</v>
      </c>
      <c r="G579" s="25" t="s">
        <v>650</v>
      </c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6"/>
    </row>
    <row r="580" spans="1:30" x14ac:dyDescent="0.3">
      <c r="A580" s="34"/>
      <c r="B580" s="25" t="s">
        <v>717</v>
      </c>
      <c r="C580" s="25" t="s">
        <v>640</v>
      </c>
      <c r="D580" s="25" t="s">
        <v>266</v>
      </c>
      <c r="E580" s="25" t="s">
        <v>712</v>
      </c>
      <c r="F580" s="25" t="s">
        <v>713</v>
      </c>
      <c r="G580" s="25" t="s">
        <v>650</v>
      </c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6"/>
    </row>
    <row r="581" spans="1:30" x14ac:dyDescent="0.3">
      <c r="A581" s="34"/>
      <c r="B581" s="25" t="s">
        <v>993</v>
      </c>
      <c r="C581" s="25" t="s">
        <v>652</v>
      </c>
      <c r="D581" s="25" t="s">
        <v>278</v>
      </c>
      <c r="E581" s="25" t="s">
        <v>712</v>
      </c>
      <c r="F581" s="25" t="s">
        <v>838</v>
      </c>
      <c r="G581" s="25" t="s">
        <v>650</v>
      </c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6"/>
    </row>
    <row r="582" spans="1:30" x14ac:dyDescent="0.3">
      <c r="A582" s="34"/>
      <c r="B582" s="25" t="s">
        <v>994</v>
      </c>
      <c r="C582" s="25" t="s">
        <v>634</v>
      </c>
      <c r="D582" s="25" t="s">
        <v>87</v>
      </c>
      <c r="E582" s="25" t="s">
        <v>725</v>
      </c>
      <c r="F582" s="25" t="s">
        <v>689</v>
      </c>
      <c r="G582" s="25" t="s">
        <v>650</v>
      </c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6"/>
    </row>
    <row r="583" spans="1:30" x14ac:dyDescent="0.3">
      <c r="A583" s="30" t="s">
        <v>269</v>
      </c>
      <c r="B583" s="31" t="s">
        <v>995</v>
      </c>
      <c r="C583" s="32" t="s">
        <v>620</v>
      </c>
      <c r="D583" s="32" t="s">
        <v>270</v>
      </c>
      <c r="E583" s="32" t="s">
        <v>621</v>
      </c>
      <c r="F583" s="32"/>
      <c r="G583" s="32" t="s">
        <v>622</v>
      </c>
      <c r="H583" s="31" t="s">
        <v>702</v>
      </c>
      <c r="I583" s="31">
        <v>43</v>
      </c>
      <c r="J583" s="31" t="s">
        <v>626</v>
      </c>
      <c r="K583" s="31" t="s">
        <v>105</v>
      </c>
      <c r="L583" s="31" t="s">
        <v>624</v>
      </c>
      <c r="M583" s="31" t="s">
        <v>624</v>
      </c>
      <c r="N583" s="31" t="s">
        <v>624</v>
      </c>
      <c r="O583" s="31" t="s">
        <v>624</v>
      </c>
      <c r="P583" s="31" t="s">
        <v>624</v>
      </c>
      <c r="Q583" s="31" t="s">
        <v>624</v>
      </c>
      <c r="R583" s="31" t="s">
        <v>625</v>
      </c>
      <c r="S583" s="31" t="s">
        <v>625</v>
      </c>
      <c r="T583" s="31" t="s">
        <v>625</v>
      </c>
      <c r="U583" s="31" t="s">
        <v>625</v>
      </c>
      <c r="V583" s="31" t="s">
        <v>626</v>
      </c>
      <c r="W583" s="31" t="s">
        <v>625</v>
      </c>
      <c r="X583" s="31" t="s">
        <v>625</v>
      </c>
      <c r="Y583" s="31" t="s">
        <v>625</v>
      </c>
      <c r="Z583" s="31" t="s">
        <v>626</v>
      </c>
      <c r="AA583" s="31" t="s">
        <v>625</v>
      </c>
      <c r="AB583" s="31" t="s">
        <v>627</v>
      </c>
      <c r="AC583" s="31" t="s">
        <v>628</v>
      </c>
      <c r="AD583" s="33" t="s">
        <v>706</v>
      </c>
    </row>
    <row r="584" spans="1:30" x14ac:dyDescent="0.3">
      <c r="A584" s="34"/>
      <c r="B584" s="35"/>
      <c r="C584" s="25" t="s">
        <v>652</v>
      </c>
      <c r="D584" s="25" t="s">
        <v>54</v>
      </c>
      <c r="E584" s="25" t="s">
        <v>725</v>
      </c>
      <c r="F584" s="25" t="s">
        <v>692</v>
      </c>
      <c r="G584" s="25" t="s">
        <v>633</v>
      </c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6"/>
    </row>
    <row r="585" spans="1:30" x14ac:dyDescent="0.3">
      <c r="A585" s="34"/>
      <c r="B585" s="35"/>
      <c r="C585" s="25" t="s">
        <v>634</v>
      </c>
      <c r="D585" s="25" t="s">
        <v>271</v>
      </c>
      <c r="E585" s="25" t="s">
        <v>956</v>
      </c>
      <c r="F585" s="25" t="s">
        <v>743</v>
      </c>
      <c r="G585" s="25" t="s">
        <v>633</v>
      </c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6"/>
    </row>
    <row r="586" spans="1:30" x14ac:dyDescent="0.3">
      <c r="A586" s="34"/>
      <c r="B586" s="35"/>
      <c r="C586" s="25" t="s">
        <v>637</v>
      </c>
      <c r="D586" s="25" t="s">
        <v>272</v>
      </c>
      <c r="E586" s="25" t="s">
        <v>712</v>
      </c>
      <c r="F586" s="25" t="s">
        <v>849</v>
      </c>
      <c r="G586" s="25" t="s">
        <v>633</v>
      </c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6"/>
    </row>
    <row r="587" spans="1:30" x14ac:dyDescent="0.3">
      <c r="A587" s="34"/>
      <c r="B587" s="35"/>
      <c r="C587" s="25" t="s">
        <v>642</v>
      </c>
      <c r="D587" s="25" t="s">
        <v>273</v>
      </c>
      <c r="E587" s="25" t="s">
        <v>638</v>
      </c>
      <c r="F587" s="25" t="s">
        <v>639</v>
      </c>
      <c r="G587" s="25" t="s">
        <v>633</v>
      </c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6"/>
    </row>
    <row r="588" spans="1:30" x14ac:dyDescent="0.3">
      <c r="A588" s="34"/>
      <c r="B588" s="37"/>
      <c r="C588" s="25" t="s">
        <v>645</v>
      </c>
      <c r="D588" s="25" t="s">
        <v>43</v>
      </c>
      <c r="E588" s="25" t="s">
        <v>638</v>
      </c>
      <c r="F588" s="25" t="s">
        <v>639</v>
      </c>
      <c r="G588" s="25" t="s">
        <v>633</v>
      </c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6"/>
    </row>
    <row r="589" spans="1:30" x14ac:dyDescent="0.3">
      <c r="A589" s="34"/>
      <c r="B589" s="25" t="s">
        <v>656</v>
      </c>
      <c r="C589" s="25" t="s">
        <v>996</v>
      </c>
      <c r="D589" s="25" t="s">
        <v>43</v>
      </c>
      <c r="E589" s="25" t="s">
        <v>638</v>
      </c>
      <c r="F589" s="25" t="s">
        <v>639</v>
      </c>
      <c r="G589" s="25" t="s">
        <v>650</v>
      </c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6"/>
    </row>
    <row r="590" spans="1:30" x14ac:dyDescent="0.3">
      <c r="A590" s="34"/>
      <c r="B590" s="25" t="s">
        <v>812</v>
      </c>
      <c r="C590" s="25" t="s">
        <v>652</v>
      </c>
      <c r="D590" s="25" t="s">
        <v>273</v>
      </c>
      <c r="E590" s="25" t="s">
        <v>638</v>
      </c>
      <c r="F590" s="25" t="s">
        <v>639</v>
      </c>
      <c r="G590" s="25" t="s">
        <v>650</v>
      </c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6"/>
    </row>
    <row r="591" spans="1:30" x14ac:dyDescent="0.3">
      <c r="A591" s="34"/>
      <c r="B591" s="25" t="s">
        <v>997</v>
      </c>
      <c r="C591" s="25" t="s">
        <v>630</v>
      </c>
      <c r="D591" s="25" t="s">
        <v>272</v>
      </c>
      <c r="E591" s="25" t="s">
        <v>712</v>
      </c>
      <c r="F591" s="25" t="s">
        <v>849</v>
      </c>
      <c r="G591" s="25" t="s">
        <v>650</v>
      </c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6"/>
    </row>
    <row r="592" spans="1:30" ht="15" thickBot="1" x14ac:dyDescent="0.35">
      <c r="A592" s="38"/>
      <c r="B592" s="39" t="s">
        <v>998</v>
      </c>
      <c r="C592" s="39" t="s">
        <v>634</v>
      </c>
      <c r="D592" s="39" t="s">
        <v>54</v>
      </c>
      <c r="E592" s="39" t="s">
        <v>725</v>
      </c>
      <c r="F592" s="39" t="s">
        <v>692</v>
      </c>
      <c r="G592" s="39" t="s">
        <v>650</v>
      </c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1"/>
    </row>
    <row r="593" spans="1:30" x14ac:dyDescent="0.3">
      <c r="A593" s="30" t="s">
        <v>62</v>
      </c>
      <c r="B593" s="31" t="s">
        <v>999</v>
      </c>
      <c r="C593" s="32" t="s">
        <v>620</v>
      </c>
      <c r="D593" s="32" t="s">
        <v>63</v>
      </c>
      <c r="E593" s="32" t="s">
        <v>621</v>
      </c>
      <c r="F593" s="32"/>
      <c r="G593" s="32" t="s">
        <v>622</v>
      </c>
      <c r="H593" s="31" t="s">
        <v>623</v>
      </c>
      <c r="I593" s="31">
        <v>4</v>
      </c>
      <c r="J593" s="31">
        <v>2</v>
      </c>
      <c r="K593" s="31" t="s">
        <v>105</v>
      </c>
      <c r="L593" s="31" t="s">
        <v>624</v>
      </c>
      <c r="M593" s="31" t="s">
        <v>624</v>
      </c>
      <c r="N593" s="31" t="s">
        <v>624</v>
      </c>
      <c r="O593" s="31" t="s">
        <v>624</v>
      </c>
      <c r="P593" s="31" t="s">
        <v>624</v>
      </c>
      <c r="Q593" s="31" t="s">
        <v>624</v>
      </c>
      <c r="R593" s="31" t="s">
        <v>625</v>
      </c>
      <c r="S593" s="31" t="s">
        <v>625</v>
      </c>
      <c r="T593" s="31" t="s">
        <v>625</v>
      </c>
      <c r="U593" s="31" t="s">
        <v>625</v>
      </c>
      <c r="V593" s="31" t="s">
        <v>626</v>
      </c>
      <c r="W593" s="31" t="s">
        <v>625</v>
      </c>
      <c r="X593" s="31" t="s">
        <v>625</v>
      </c>
      <c r="Y593" s="31" t="s">
        <v>626</v>
      </c>
      <c r="Z593" s="31" t="s">
        <v>626</v>
      </c>
      <c r="AA593" s="31" t="s">
        <v>625</v>
      </c>
      <c r="AB593" s="31" t="s">
        <v>627</v>
      </c>
      <c r="AC593" s="31" t="s">
        <v>628</v>
      </c>
      <c r="AD593" s="33" t="s">
        <v>629</v>
      </c>
    </row>
    <row r="594" spans="1:30" x14ac:dyDescent="0.3">
      <c r="A594" s="34"/>
      <c r="B594" s="35"/>
      <c r="C594" s="25" t="s">
        <v>630</v>
      </c>
      <c r="D594" s="25" t="s">
        <v>64</v>
      </c>
      <c r="E594" s="25" t="s">
        <v>631</v>
      </c>
      <c r="F594" s="25" t="s">
        <v>632</v>
      </c>
      <c r="G594" s="25" t="s">
        <v>633</v>
      </c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6"/>
    </row>
    <row r="595" spans="1:30" x14ac:dyDescent="0.3">
      <c r="A595" s="34"/>
      <c r="B595" s="35"/>
      <c r="C595" s="25" t="s">
        <v>634</v>
      </c>
      <c r="D595" s="25" t="s">
        <v>65</v>
      </c>
      <c r="E595" s="25" t="s">
        <v>725</v>
      </c>
      <c r="F595" s="25" t="s">
        <v>753</v>
      </c>
      <c r="G595" s="25" t="s">
        <v>633</v>
      </c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6"/>
    </row>
    <row r="596" spans="1:30" x14ac:dyDescent="0.3">
      <c r="A596" s="34"/>
      <c r="B596" s="35"/>
      <c r="C596" s="25" t="s">
        <v>637</v>
      </c>
      <c r="D596" s="25" t="s">
        <v>66</v>
      </c>
      <c r="E596" s="25" t="s">
        <v>631</v>
      </c>
      <c r="F596" s="25" t="s">
        <v>632</v>
      </c>
      <c r="G596" s="25" t="s">
        <v>633</v>
      </c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6"/>
    </row>
    <row r="597" spans="1:30" x14ac:dyDescent="0.3">
      <c r="A597" s="34"/>
      <c r="B597" s="35"/>
      <c r="C597" s="25" t="s">
        <v>642</v>
      </c>
      <c r="D597" s="25" t="s">
        <v>67</v>
      </c>
      <c r="E597" s="25" t="s">
        <v>638</v>
      </c>
      <c r="F597" s="25" t="s">
        <v>639</v>
      </c>
      <c r="G597" s="25" t="s">
        <v>633</v>
      </c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6"/>
    </row>
    <row r="598" spans="1:30" x14ac:dyDescent="0.3">
      <c r="A598" s="34"/>
      <c r="B598" s="37"/>
      <c r="C598" s="25" t="s">
        <v>645</v>
      </c>
      <c r="D598" s="25" t="s">
        <v>68</v>
      </c>
      <c r="E598" s="25" t="s">
        <v>646</v>
      </c>
      <c r="F598" s="25" t="s">
        <v>647</v>
      </c>
      <c r="G598" s="25" t="s">
        <v>633</v>
      </c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6"/>
    </row>
    <row r="599" spans="1:30" x14ac:dyDescent="0.3">
      <c r="A599" s="34"/>
      <c r="B599" s="25" t="s">
        <v>626</v>
      </c>
      <c r="C599" s="25" t="s">
        <v>626</v>
      </c>
      <c r="D599" s="25" t="s">
        <v>1000</v>
      </c>
      <c r="E599" s="25" t="s">
        <v>666</v>
      </c>
      <c r="F599" s="25" t="s">
        <v>667</v>
      </c>
      <c r="G599" s="25" t="s">
        <v>650</v>
      </c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6"/>
    </row>
    <row r="600" spans="1:30" x14ac:dyDescent="0.3">
      <c r="A600" s="34"/>
      <c r="B600" s="25" t="s">
        <v>626</v>
      </c>
      <c r="C600" s="25" t="s">
        <v>626</v>
      </c>
      <c r="D600" s="25" t="s">
        <v>1001</v>
      </c>
      <c r="E600" s="25" t="s">
        <v>648</v>
      </c>
      <c r="F600" s="25" t="s">
        <v>756</v>
      </c>
      <c r="G600" s="25" t="s">
        <v>650</v>
      </c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6"/>
    </row>
    <row r="601" spans="1:30" x14ac:dyDescent="0.3">
      <c r="A601" s="34"/>
      <c r="B601" s="25" t="s">
        <v>843</v>
      </c>
      <c r="C601" s="25" t="s">
        <v>634</v>
      </c>
      <c r="D601" s="25" t="s">
        <v>70</v>
      </c>
      <c r="E601" s="25" t="s">
        <v>621</v>
      </c>
      <c r="F601" s="25" t="s">
        <v>653</v>
      </c>
      <c r="G601" s="25" t="s">
        <v>650</v>
      </c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6"/>
    </row>
    <row r="602" spans="1:30" x14ac:dyDescent="0.3">
      <c r="A602" s="34"/>
      <c r="B602" s="25" t="s">
        <v>918</v>
      </c>
      <c r="C602" s="25" t="s">
        <v>652</v>
      </c>
      <c r="D602" s="25" t="s">
        <v>64</v>
      </c>
      <c r="E602" s="25" t="s">
        <v>631</v>
      </c>
      <c r="F602" s="25" t="s">
        <v>632</v>
      </c>
      <c r="G602" s="25" t="s">
        <v>650</v>
      </c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6"/>
    </row>
    <row r="603" spans="1:30" x14ac:dyDescent="0.3">
      <c r="A603" s="34"/>
      <c r="B603" s="25" t="s">
        <v>949</v>
      </c>
      <c r="C603" s="25" t="s">
        <v>652</v>
      </c>
      <c r="D603" s="25" t="s">
        <v>66</v>
      </c>
      <c r="E603" s="25" t="s">
        <v>631</v>
      </c>
      <c r="F603" s="25" t="s">
        <v>632</v>
      </c>
      <c r="G603" s="25" t="s">
        <v>650</v>
      </c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6"/>
    </row>
    <row r="604" spans="1:30" x14ac:dyDescent="0.3">
      <c r="A604" s="34"/>
      <c r="B604" s="25" t="s">
        <v>781</v>
      </c>
      <c r="C604" s="25" t="s">
        <v>652</v>
      </c>
      <c r="D604" s="25" t="s">
        <v>67</v>
      </c>
      <c r="E604" s="25" t="s">
        <v>638</v>
      </c>
      <c r="F604" s="25" t="s">
        <v>639</v>
      </c>
      <c r="G604" s="25" t="s">
        <v>650</v>
      </c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6"/>
    </row>
    <row r="605" spans="1:30" x14ac:dyDescent="0.3">
      <c r="A605" s="34"/>
      <c r="B605" s="25" t="s">
        <v>835</v>
      </c>
      <c r="C605" s="25" t="s">
        <v>652</v>
      </c>
      <c r="D605" s="25" t="s">
        <v>65</v>
      </c>
      <c r="E605" s="25" t="s">
        <v>725</v>
      </c>
      <c r="F605" s="25" t="s">
        <v>753</v>
      </c>
      <c r="G605" s="25" t="s">
        <v>650</v>
      </c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6"/>
    </row>
    <row r="606" spans="1:30" ht="15" thickBot="1" x14ac:dyDescent="0.35">
      <c r="A606" s="38"/>
      <c r="B606" s="39" t="s">
        <v>1002</v>
      </c>
      <c r="C606" s="39" t="s">
        <v>630</v>
      </c>
      <c r="D606" s="39" t="s">
        <v>71</v>
      </c>
      <c r="E606" s="39" t="s">
        <v>646</v>
      </c>
      <c r="F606" s="39" t="s">
        <v>864</v>
      </c>
      <c r="G606" s="39" t="s">
        <v>650</v>
      </c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1"/>
    </row>
    <row r="607" spans="1:30" x14ac:dyDescent="0.3">
      <c r="A607" s="30" t="s">
        <v>51</v>
      </c>
      <c r="B607" s="31" t="s">
        <v>1003</v>
      </c>
      <c r="C607" s="32" t="s">
        <v>620</v>
      </c>
      <c r="D607" s="32" t="s">
        <v>52</v>
      </c>
      <c r="E607" s="32" t="s">
        <v>621</v>
      </c>
      <c r="F607" s="32"/>
      <c r="G607" s="32" t="s">
        <v>622</v>
      </c>
      <c r="H607" s="31" t="s">
        <v>623</v>
      </c>
      <c r="I607" s="31">
        <v>3</v>
      </c>
      <c r="J607" s="31">
        <v>1</v>
      </c>
      <c r="K607" s="31" t="s">
        <v>105</v>
      </c>
      <c r="L607" s="31" t="s">
        <v>624</v>
      </c>
      <c r="M607" s="31" t="s">
        <v>624</v>
      </c>
      <c r="N607" s="31" t="s">
        <v>624</v>
      </c>
      <c r="O607" s="31" t="s">
        <v>624</v>
      </c>
      <c r="P607" s="31" t="s">
        <v>624</v>
      </c>
      <c r="Q607" s="31" t="s">
        <v>624</v>
      </c>
      <c r="R607" s="31" t="s">
        <v>625</v>
      </c>
      <c r="S607" s="31" t="s">
        <v>625</v>
      </c>
      <c r="T607" s="31" t="s">
        <v>625</v>
      </c>
      <c r="U607" s="31" t="s">
        <v>625</v>
      </c>
      <c r="V607" s="31" t="s">
        <v>626</v>
      </c>
      <c r="W607" s="31" t="s">
        <v>625</v>
      </c>
      <c r="X607" s="31" t="s">
        <v>625</v>
      </c>
      <c r="Y607" s="31" t="s">
        <v>626</v>
      </c>
      <c r="Z607" s="31" t="s">
        <v>626</v>
      </c>
      <c r="AA607" s="31" t="s">
        <v>625</v>
      </c>
      <c r="AB607" s="31" t="s">
        <v>627</v>
      </c>
      <c r="AC607" s="31" t="s">
        <v>628</v>
      </c>
      <c r="AD607" s="33" t="s">
        <v>629</v>
      </c>
    </row>
    <row r="608" spans="1:30" x14ac:dyDescent="0.3">
      <c r="A608" s="34"/>
      <c r="B608" s="35"/>
      <c r="C608" s="25" t="s">
        <v>630</v>
      </c>
      <c r="D608" s="25" t="s">
        <v>53</v>
      </c>
      <c r="E608" s="25" t="s">
        <v>631</v>
      </c>
      <c r="F608" s="25" t="s">
        <v>632</v>
      </c>
      <c r="G608" s="25" t="s">
        <v>633</v>
      </c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6"/>
    </row>
    <row r="609" spans="1:30" x14ac:dyDescent="0.3">
      <c r="A609" s="34"/>
      <c r="B609" s="35"/>
      <c r="C609" s="25" t="s">
        <v>634</v>
      </c>
      <c r="D609" s="25" t="s">
        <v>54</v>
      </c>
      <c r="E609" s="25" t="s">
        <v>725</v>
      </c>
      <c r="F609" s="25" t="s">
        <v>692</v>
      </c>
      <c r="G609" s="25" t="s">
        <v>633</v>
      </c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6"/>
    </row>
    <row r="610" spans="1:30" x14ac:dyDescent="0.3">
      <c r="A610" s="34"/>
      <c r="B610" s="35"/>
      <c r="C610" s="25" t="s">
        <v>637</v>
      </c>
      <c r="D610" s="25" t="s">
        <v>55</v>
      </c>
      <c r="E610" s="25" t="s">
        <v>631</v>
      </c>
      <c r="F610" s="25" t="s">
        <v>632</v>
      </c>
      <c r="G610" s="25" t="s">
        <v>633</v>
      </c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6"/>
    </row>
    <row r="611" spans="1:30" x14ac:dyDescent="0.3">
      <c r="A611" s="34"/>
      <c r="B611" s="35"/>
      <c r="C611" s="25" t="s">
        <v>642</v>
      </c>
      <c r="D611" s="25" t="s">
        <v>56</v>
      </c>
      <c r="E611" s="25" t="s">
        <v>638</v>
      </c>
      <c r="F611" s="25" t="s">
        <v>639</v>
      </c>
      <c r="G611" s="25" t="s">
        <v>633</v>
      </c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6"/>
    </row>
    <row r="612" spans="1:30" x14ac:dyDescent="0.3">
      <c r="A612" s="34"/>
      <c r="B612" s="37"/>
      <c r="C612" s="25" t="s">
        <v>645</v>
      </c>
      <c r="D612" s="25" t="s">
        <v>57</v>
      </c>
      <c r="E612" s="25" t="s">
        <v>646</v>
      </c>
      <c r="F612" s="25" t="s">
        <v>647</v>
      </c>
      <c r="G612" s="25" t="s">
        <v>633</v>
      </c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6"/>
    </row>
    <row r="613" spans="1:30" x14ac:dyDescent="0.3">
      <c r="A613" s="34"/>
      <c r="B613" s="25" t="s">
        <v>626</v>
      </c>
      <c r="C613" s="25" t="s">
        <v>626</v>
      </c>
      <c r="D613" s="25" t="s">
        <v>58</v>
      </c>
      <c r="E613" s="25" t="s">
        <v>648</v>
      </c>
      <c r="F613" s="25" t="s">
        <v>756</v>
      </c>
      <c r="G613" s="25" t="s">
        <v>650</v>
      </c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6"/>
    </row>
    <row r="614" spans="1:30" x14ac:dyDescent="0.3">
      <c r="A614" s="34"/>
      <c r="B614" s="25" t="s">
        <v>851</v>
      </c>
      <c r="C614" s="25" t="s">
        <v>634</v>
      </c>
      <c r="D614" s="25" t="s">
        <v>59</v>
      </c>
      <c r="E614" s="25" t="s">
        <v>621</v>
      </c>
      <c r="F614" s="25" t="s">
        <v>653</v>
      </c>
      <c r="G614" s="25" t="s">
        <v>650</v>
      </c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6"/>
    </row>
    <row r="615" spans="1:30" x14ac:dyDescent="0.3">
      <c r="A615" s="34"/>
      <c r="B615" s="25" t="s">
        <v>844</v>
      </c>
      <c r="C615" s="25" t="s">
        <v>630</v>
      </c>
      <c r="D615" s="25" t="s">
        <v>53</v>
      </c>
      <c r="E615" s="25" t="s">
        <v>631</v>
      </c>
      <c r="F615" s="25" t="s">
        <v>632</v>
      </c>
      <c r="G615" s="25" t="s">
        <v>650</v>
      </c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6"/>
    </row>
    <row r="616" spans="1:30" x14ac:dyDescent="0.3">
      <c r="A616" s="34"/>
      <c r="B616" s="25" t="s">
        <v>654</v>
      </c>
      <c r="C616" s="25" t="s">
        <v>652</v>
      </c>
      <c r="D616" s="25" t="s">
        <v>55</v>
      </c>
      <c r="E616" s="25" t="s">
        <v>631</v>
      </c>
      <c r="F616" s="25" t="s">
        <v>632</v>
      </c>
      <c r="G616" s="25" t="s">
        <v>650</v>
      </c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6"/>
    </row>
    <row r="617" spans="1:30" x14ac:dyDescent="0.3">
      <c r="A617" s="34"/>
      <c r="B617" s="25" t="s">
        <v>788</v>
      </c>
      <c r="C617" s="25" t="s">
        <v>652</v>
      </c>
      <c r="D617" s="25" t="s">
        <v>56</v>
      </c>
      <c r="E617" s="25" t="s">
        <v>638</v>
      </c>
      <c r="F617" s="25" t="s">
        <v>639</v>
      </c>
      <c r="G617" s="25" t="s">
        <v>650</v>
      </c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6"/>
    </row>
    <row r="618" spans="1:30" x14ac:dyDescent="0.3">
      <c r="A618" s="34"/>
      <c r="B618" s="25" t="s">
        <v>998</v>
      </c>
      <c r="C618" s="25" t="s">
        <v>652</v>
      </c>
      <c r="D618" s="25" t="s">
        <v>54</v>
      </c>
      <c r="E618" s="25" t="s">
        <v>725</v>
      </c>
      <c r="F618" s="25" t="s">
        <v>692</v>
      </c>
      <c r="G618" s="25" t="s">
        <v>650</v>
      </c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6"/>
    </row>
    <row r="619" spans="1:30" ht="15" thickBot="1" x14ac:dyDescent="0.35">
      <c r="A619" s="38"/>
      <c r="B619" s="39" t="s">
        <v>1004</v>
      </c>
      <c r="C619" s="39" t="s">
        <v>630</v>
      </c>
      <c r="D619" s="39" t="s">
        <v>60</v>
      </c>
      <c r="E619" s="39" t="s">
        <v>646</v>
      </c>
      <c r="F619" s="39" t="s">
        <v>864</v>
      </c>
      <c r="G619" s="39" t="s">
        <v>650</v>
      </c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1"/>
    </row>
    <row r="620" spans="1:30" x14ac:dyDescent="0.3">
      <c r="A620" s="30" t="s">
        <v>440</v>
      </c>
      <c r="B620" s="31" t="s">
        <v>1005</v>
      </c>
      <c r="C620" s="32" t="s">
        <v>620</v>
      </c>
      <c r="D620" s="32" t="s">
        <v>441</v>
      </c>
      <c r="E620" s="32" t="s">
        <v>621</v>
      </c>
      <c r="F620" s="32"/>
      <c r="G620" s="32" t="s">
        <v>622</v>
      </c>
      <c r="H620" s="31" t="s">
        <v>623</v>
      </c>
      <c r="I620" s="31">
        <v>71</v>
      </c>
      <c r="J620" s="31">
        <v>34</v>
      </c>
      <c r="K620" s="31" t="s">
        <v>105</v>
      </c>
      <c r="L620" s="31" t="s">
        <v>624</v>
      </c>
      <c r="M620" s="31" t="s">
        <v>624</v>
      </c>
      <c r="N620" s="31" t="s">
        <v>624</v>
      </c>
      <c r="O620" s="31" t="s">
        <v>624</v>
      </c>
      <c r="P620" s="31" t="s">
        <v>624</v>
      </c>
      <c r="Q620" s="31" t="s">
        <v>624</v>
      </c>
      <c r="R620" s="31" t="s">
        <v>625</v>
      </c>
      <c r="S620" s="31" t="s">
        <v>625</v>
      </c>
      <c r="T620" s="31" t="s">
        <v>625</v>
      </c>
      <c r="U620" s="31" t="s">
        <v>625</v>
      </c>
      <c r="V620" s="31" t="s">
        <v>626</v>
      </c>
      <c r="W620" s="31" t="s">
        <v>625</v>
      </c>
      <c r="X620" s="31" t="s">
        <v>625</v>
      </c>
      <c r="Y620" s="31" t="s">
        <v>626</v>
      </c>
      <c r="Z620" s="31" t="s">
        <v>626</v>
      </c>
      <c r="AA620" s="31" t="s">
        <v>625</v>
      </c>
      <c r="AB620" s="31" t="s">
        <v>627</v>
      </c>
      <c r="AC620" s="31" t="s">
        <v>628</v>
      </c>
      <c r="AD620" s="33" t="s">
        <v>629</v>
      </c>
    </row>
    <row r="621" spans="1:30" x14ac:dyDescent="0.3">
      <c r="A621" s="34"/>
      <c r="B621" s="35"/>
      <c r="C621" s="25" t="s">
        <v>652</v>
      </c>
      <c r="D621" s="25" t="s">
        <v>345</v>
      </c>
      <c r="E621" s="25" t="s">
        <v>635</v>
      </c>
      <c r="F621" s="25" t="s">
        <v>636</v>
      </c>
      <c r="G621" s="25" t="s">
        <v>633</v>
      </c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6"/>
    </row>
    <row r="622" spans="1:30" x14ac:dyDescent="0.3">
      <c r="A622" s="34"/>
      <c r="B622" s="35"/>
      <c r="C622" s="25" t="s">
        <v>630</v>
      </c>
      <c r="D622" s="25" t="s">
        <v>442</v>
      </c>
      <c r="E622" s="25" t="s">
        <v>641</v>
      </c>
      <c r="F622" s="25" t="s">
        <v>632</v>
      </c>
      <c r="G622" s="25" t="s">
        <v>633</v>
      </c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6"/>
    </row>
    <row r="623" spans="1:30" x14ac:dyDescent="0.3">
      <c r="A623" s="34"/>
      <c r="B623" s="35"/>
      <c r="C623" s="25" t="s">
        <v>634</v>
      </c>
      <c r="D623" s="25" t="s">
        <v>403</v>
      </c>
      <c r="E623" s="25" t="s">
        <v>688</v>
      </c>
      <c r="F623" s="25" t="s">
        <v>753</v>
      </c>
      <c r="G623" s="25" t="s">
        <v>633</v>
      </c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6"/>
    </row>
    <row r="624" spans="1:30" x14ac:dyDescent="0.3">
      <c r="A624" s="34"/>
      <c r="B624" s="35"/>
      <c r="C624" s="25" t="s">
        <v>637</v>
      </c>
      <c r="D624" s="25" t="s">
        <v>91</v>
      </c>
      <c r="E624" s="25" t="s">
        <v>638</v>
      </c>
      <c r="F624" s="25" t="s">
        <v>639</v>
      </c>
      <c r="G624" s="25" t="s">
        <v>633</v>
      </c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6"/>
    </row>
    <row r="625" spans="1:30" x14ac:dyDescent="0.3">
      <c r="A625" s="34"/>
      <c r="B625" s="35"/>
      <c r="C625" s="25" t="s">
        <v>640</v>
      </c>
      <c r="D625" s="25" t="s">
        <v>118</v>
      </c>
      <c r="E625" s="25" t="s">
        <v>638</v>
      </c>
      <c r="F625" s="25" t="s">
        <v>639</v>
      </c>
      <c r="G625" s="25" t="s">
        <v>633</v>
      </c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6"/>
    </row>
    <row r="626" spans="1:30" x14ac:dyDescent="0.3">
      <c r="A626" s="34"/>
      <c r="B626" s="37"/>
      <c r="C626" s="25" t="s">
        <v>642</v>
      </c>
      <c r="D626" s="25" t="s">
        <v>26</v>
      </c>
      <c r="E626" s="25" t="s">
        <v>735</v>
      </c>
      <c r="F626" s="25" t="s">
        <v>693</v>
      </c>
      <c r="G626" s="25" t="s">
        <v>633</v>
      </c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6"/>
    </row>
    <row r="627" spans="1:30" x14ac:dyDescent="0.3">
      <c r="A627" s="34"/>
      <c r="B627" s="25" t="s">
        <v>626</v>
      </c>
      <c r="C627" s="25" t="s">
        <v>626</v>
      </c>
      <c r="D627" s="25" t="s">
        <v>1006</v>
      </c>
      <c r="E627" s="25" t="s">
        <v>666</v>
      </c>
      <c r="F627" s="25" t="s">
        <v>667</v>
      </c>
      <c r="G627" s="25" t="s">
        <v>650</v>
      </c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6"/>
    </row>
    <row r="628" spans="1:30" x14ac:dyDescent="0.3">
      <c r="A628" s="34"/>
      <c r="B628" s="25" t="s">
        <v>626</v>
      </c>
      <c r="C628" s="25" t="s">
        <v>626</v>
      </c>
      <c r="D628" s="25" t="s">
        <v>1007</v>
      </c>
      <c r="E628" s="25" t="s">
        <v>648</v>
      </c>
      <c r="F628" s="25" t="s">
        <v>649</v>
      </c>
      <c r="G628" s="25" t="s">
        <v>650</v>
      </c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6"/>
    </row>
    <row r="629" spans="1:30" x14ac:dyDescent="0.3">
      <c r="A629" s="34"/>
      <c r="B629" s="25" t="s">
        <v>860</v>
      </c>
      <c r="C629" s="25" t="s">
        <v>634</v>
      </c>
      <c r="D629" s="25" t="s">
        <v>82</v>
      </c>
      <c r="E629" s="25" t="s">
        <v>621</v>
      </c>
      <c r="F629" s="25" t="s">
        <v>653</v>
      </c>
      <c r="G629" s="25" t="s">
        <v>650</v>
      </c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6"/>
    </row>
    <row r="630" spans="1:30" x14ac:dyDescent="0.3">
      <c r="A630" s="34"/>
      <c r="B630" s="25" t="s">
        <v>1008</v>
      </c>
      <c r="C630" s="25" t="s">
        <v>637</v>
      </c>
      <c r="D630" s="25" t="s">
        <v>442</v>
      </c>
      <c r="E630" s="25" t="s">
        <v>641</v>
      </c>
      <c r="F630" s="25" t="s">
        <v>632</v>
      </c>
      <c r="G630" s="25" t="s">
        <v>650</v>
      </c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6"/>
    </row>
    <row r="631" spans="1:30" x14ac:dyDescent="0.3">
      <c r="A631" s="34"/>
      <c r="B631" s="25" t="s">
        <v>684</v>
      </c>
      <c r="C631" s="25" t="s">
        <v>652</v>
      </c>
      <c r="D631" s="25" t="s">
        <v>91</v>
      </c>
      <c r="E631" s="25" t="s">
        <v>638</v>
      </c>
      <c r="F631" s="25" t="s">
        <v>639</v>
      </c>
      <c r="G631" s="25" t="s">
        <v>650</v>
      </c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6"/>
    </row>
    <row r="632" spans="1:30" x14ac:dyDescent="0.3">
      <c r="A632" s="34"/>
      <c r="B632" s="25" t="s">
        <v>715</v>
      </c>
      <c r="C632" s="25" t="s">
        <v>634</v>
      </c>
      <c r="D632" s="25" t="s">
        <v>118</v>
      </c>
      <c r="E632" s="25" t="s">
        <v>638</v>
      </c>
      <c r="F632" s="25" t="s">
        <v>639</v>
      </c>
      <c r="G632" s="25" t="s">
        <v>650</v>
      </c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6"/>
    </row>
    <row r="633" spans="1:30" x14ac:dyDescent="0.3">
      <c r="A633" s="34"/>
      <c r="B633" s="25" t="s">
        <v>927</v>
      </c>
      <c r="C633" s="25" t="s">
        <v>652</v>
      </c>
      <c r="D633" s="25" t="s">
        <v>403</v>
      </c>
      <c r="E633" s="25" t="s">
        <v>688</v>
      </c>
      <c r="F633" s="25" t="s">
        <v>753</v>
      </c>
      <c r="G633" s="25" t="s">
        <v>650</v>
      </c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6"/>
    </row>
    <row r="634" spans="1:30" x14ac:dyDescent="0.3">
      <c r="A634" s="34"/>
      <c r="B634" s="25" t="s">
        <v>1009</v>
      </c>
      <c r="C634" s="25" t="s">
        <v>652</v>
      </c>
      <c r="D634" s="25" t="s">
        <v>444</v>
      </c>
      <c r="E634" s="25" t="s">
        <v>646</v>
      </c>
      <c r="F634" s="25" t="s">
        <v>864</v>
      </c>
      <c r="G634" s="25" t="s">
        <v>650</v>
      </c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6"/>
    </row>
    <row r="635" spans="1:30" ht="15" thickBot="1" x14ac:dyDescent="0.35">
      <c r="A635" s="38"/>
      <c r="B635" s="39" t="s">
        <v>748</v>
      </c>
      <c r="C635" s="39" t="s">
        <v>630</v>
      </c>
      <c r="D635" s="39" t="s">
        <v>26</v>
      </c>
      <c r="E635" s="39" t="s">
        <v>735</v>
      </c>
      <c r="F635" s="39" t="s">
        <v>693</v>
      </c>
      <c r="G635" s="39" t="s">
        <v>650</v>
      </c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1"/>
    </row>
    <row r="636" spans="1:30" x14ac:dyDescent="0.3">
      <c r="A636" s="30" t="s">
        <v>433</v>
      </c>
      <c r="B636" s="31" t="s">
        <v>1010</v>
      </c>
      <c r="C636" s="32" t="s">
        <v>620</v>
      </c>
      <c r="D636" s="32" t="s">
        <v>434</v>
      </c>
      <c r="E636" s="32" t="s">
        <v>621</v>
      </c>
      <c r="F636" s="32"/>
      <c r="G636" s="32" t="s">
        <v>622</v>
      </c>
      <c r="H636" s="31" t="s">
        <v>623</v>
      </c>
      <c r="I636" s="31">
        <v>70</v>
      </c>
      <c r="J636" s="31">
        <v>33</v>
      </c>
      <c r="K636" s="31" t="s">
        <v>105</v>
      </c>
      <c r="L636" s="31" t="s">
        <v>624</v>
      </c>
      <c r="M636" s="31" t="s">
        <v>624</v>
      </c>
      <c r="N636" s="31" t="s">
        <v>624</v>
      </c>
      <c r="O636" s="31" t="s">
        <v>624</v>
      </c>
      <c r="P636" s="31" t="s">
        <v>624</v>
      </c>
      <c r="Q636" s="31" t="s">
        <v>624</v>
      </c>
      <c r="R636" s="31" t="s">
        <v>625</v>
      </c>
      <c r="S636" s="31" t="s">
        <v>625</v>
      </c>
      <c r="T636" s="31" t="s">
        <v>625</v>
      </c>
      <c r="U636" s="31" t="s">
        <v>625</v>
      </c>
      <c r="V636" s="31" t="s">
        <v>626</v>
      </c>
      <c r="W636" s="31" t="s">
        <v>625</v>
      </c>
      <c r="X636" s="31" t="s">
        <v>625</v>
      </c>
      <c r="Y636" s="31" t="s">
        <v>626</v>
      </c>
      <c r="Z636" s="31" t="s">
        <v>626</v>
      </c>
      <c r="AA636" s="31" t="s">
        <v>625</v>
      </c>
      <c r="AB636" s="31" t="s">
        <v>627</v>
      </c>
      <c r="AC636" s="31" t="s">
        <v>628</v>
      </c>
      <c r="AD636" s="33" t="s">
        <v>629</v>
      </c>
    </row>
    <row r="637" spans="1:30" x14ac:dyDescent="0.3">
      <c r="A637" s="34"/>
      <c r="B637" s="35"/>
      <c r="C637" s="25" t="s">
        <v>630</v>
      </c>
      <c r="D637" s="25" t="s">
        <v>435</v>
      </c>
      <c r="E637" s="25" t="s">
        <v>641</v>
      </c>
      <c r="F637" s="25" t="s">
        <v>632</v>
      </c>
      <c r="G637" s="25" t="s">
        <v>633</v>
      </c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6"/>
    </row>
    <row r="638" spans="1:30" x14ac:dyDescent="0.3">
      <c r="A638" s="34"/>
      <c r="B638" s="35"/>
      <c r="C638" s="25" t="s">
        <v>634</v>
      </c>
      <c r="D638" s="25" t="s">
        <v>436</v>
      </c>
      <c r="E638" s="25" t="s">
        <v>688</v>
      </c>
      <c r="F638" s="25" t="s">
        <v>763</v>
      </c>
      <c r="G638" s="25" t="s">
        <v>633</v>
      </c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6"/>
    </row>
    <row r="639" spans="1:30" x14ac:dyDescent="0.3">
      <c r="A639" s="34"/>
      <c r="B639" s="35"/>
      <c r="C639" s="25" t="s">
        <v>637</v>
      </c>
      <c r="D639" s="25" t="s">
        <v>79</v>
      </c>
      <c r="E639" s="25" t="s">
        <v>638</v>
      </c>
      <c r="F639" s="25" t="s">
        <v>639</v>
      </c>
      <c r="G639" s="25" t="s">
        <v>633</v>
      </c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6"/>
    </row>
    <row r="640" spans="1:30" x14ac:dyDescent="0.3">
      <c r="A640" s="34"/>
      <c r="B640" s="35"/>
      <c r="C640" s="25" t="s">
        <v>640</v>
      </c>
      <c r="D640" s="25" t="s">
        <v>128</v>
      </c>
      <c r="E640" s="25" t="s">
        <v>638</v>
      </c>
      <c r="F640" s="25" t="s">
        <v>639</v>
      </c>
      <c r="G640" s="25" t="s">
        <v>633</v>
      </c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6"/>
    </row>
    <row r="641" spans="1:30" x14ac:dyDescent="0.3">
      <c r="A641" s="34"/>
      <c r="B641" s="37"/>
      <c r="C641" s="25" t="s">
        <v>642</v>
      </c>
      <c r="D641" s="25" t="s">
        <v>336</v>
      </c>
      <c r="E641" s="25" t="s">
        <v>635</v>
      </c>
      <c r="F641" s="25" t="s">
        <v>636</v>
      </c>
      <c r="G641" s="25" t="s">
        <v>633</v>
      </c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6"/>
    </row>
    <row r="642" spans="1:30" x14ac:dyDescent="0.3">
      <c r="A642" s="34"/>
      <c r="B642" s="25" t="s">
        <v>626</v>
      </c>
      <c r="C642" s="25" t="s">
        <v>626</v>
      </c>
      <c r="D642" s="25" t="s">
        <v>1011</v>
      </c>
      <c r="E642" s="25" t="s">
        <v>720</v>
      </c>
      <c r="F642" s="25" t="s">
        <v>1012</v>
      </c>
      <c r="G642" s="25" t="s">
        <v>650</v>
      </c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6"/>
    </row>
    <row r="643" spans="1:30" x14ac:dyDescent="0.3">
      <c r="A643" s="34"/>
      <c r="B643" s="25" t="s">
        <v>626</v>
      </c>
      <c r="C643" s="25" t="s">
        <v>626</v>
      </c>
      <c r="D643" s="25" t="s">
        <v>1013</v>
      </c>
      <c r="E643" s="25" t="s">
        <v>666</v>
      </c>
      <c r="F643" s="25" t="s">
        <v>667</v>
      </c>
      <c r="G643" s="25" t="s">
        <v>650</v>
      </c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6"/>
    </row>
    <row r="644" spans="1:30" x14ac:dyDescent="0.3">
      <c r="A644" s="34"/>
      <c r="B644" s="25" t="s">
        <v>626</v>
      </c>
      <c r="C644" s="25" t="s">
        <v>626</v>
      </c>
      <c r="D644" s="25" t="s">
        <v>1014</v>
      </c>
      <c r="E644" s="25" t="s">
        <v>648</v>
      </c>
      <c r="F644" s="25" t="s">
        <v>649</v>
      </c>
      <c r="G644" s="25" t="s">
        <v>650</v>
      </c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6"/>
    </row>
    <row r="645" spans="1:30" x14ac:dyDescent="0.3">
      <c r="A645" s="34"/>
      <c r="B645" s="25" t="s">
        <v>866</v>
      </c>
      <c r="C645" s="25" t="s">
        <v>634</v>
      </c>
      <c r="D645" s="25" t="s">
        <v>129</v>
      </c>
      <c r="E645" s="25" t="s">
        <v>621</v>
      </c>
      <c r="F645" s="25" t="s">
        <v>653</v>
      </c>
      <c r="G645" s="25" t="s">
        <v>650</v>
      </c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6"/>
    </row>
    <row r="646" spans="1:30" x14ac:dyDescent="0.3">
      <c r="A646" s="34"/>
      <c r="B646" s="25" t="s">
        <v>1015</v>
      </c>
      <c r="C646" s="25" t="s">
        <v>637</v>
      </c>
      <c r="D646" s="25" t="s">
        <v>435</v>
      </c>
      <c r="E646" s="25" t="s">
        <v>641</v>
      </c>
      <c r="F646" s="25" t="s">
        <v>632</v>
      </c>
      <c r="G646" s="25" t="s">
        <v>650</v>
      </c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6"/>
    </row>
    <row r="647" spans="1:30" x14ac:dyDescent="0.3">
      <c r="A647" s="34"/>
      <c r="B647" s="25" t="s">
        <v>698</v>
      </c>
      <c r="C647" s="25" t="s">
        <v>630</v>
      </c>
      <c r="D647" s="25" t="s">
        <v>79</v>
      </c>
      <c r="E647" s="25" t="s">
        <v>638</v>
      </c>
      <c r="F647" s="25" t="s">
        <v>639</v>
      </c>
      <c r="G647" s="25" t="s">
        <v>650</v>
      </c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6"/>
    </row>
    <row r="648" spans="1:30" x14ac:dyDescent="0.3">
      <c r="A648" s="34"/>
      <c r="B648" s="25" t="s">
        <v>767</v>
      </c>
      <c r="C648" s="25" t="s">
        <v>634</v>
      </c>
      <c r="D648" s="25" t="s">
        <v>128</v>
      </c>
      <c r="E648" s="25" t="s">
        <v>638</v>
      </c>
      <c r="F648" s="25" t="s">
        <v>639</v>
      </c>
      <c r="G648" s="25" t="s">
        <v>650</v>
      </c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6"/>
    </row>
    <row r="649" spans="1:30" x14ac:dyDescent="0.3">
      <c r="A649" s="34"/>
      <c r="B649" s="25" t="s">
        <v>734</v>
      </c>
      <c r="C649" s="25" t="s">
        <v>634</v>
      </c>
      <c r="D649" s="25" t="s">
        <v>49</v>
      </c>
      <c r="E649" s="25" t="s">
        <v>735</v>
      </c>
      <c r="F649" s="25" t="s">
        <v>686</v>
      </c>
      <c r="G649" s="25" t="s">
        <v>650</v>
      </c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6"/>
    </row>
    <row r="650" spans="1:30" x14ac:dyDescent="0.3">
      <c r="A650" s="34"/>
      <c r="B650" s="25" t="s">
        <v>789</v>
      </c>
      <c r="C650" s="25" t="s">
        <v>652</v>
      </c>
      <c r="D650" s="25" t="s">
        <v>436</v>
      </c>
      <c r="E650" s="25" t="s">
        <v>688</v>
      </c>
      <c r="F650" s="25" t="s">
        <v>763</v>
      </c>
      <c r="G650" s="25" t="s">
        <v>650</v>
      </c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6"/>
    </row>
    <row r="651" spans="1:30" ht="15" thickBot="1" x14ac:dyDescent="0.35">
      <c r="A651" s="38"/>
      <c r="B651" s="39" t="s">
        <v>1016</v>
      </c>
      <c r="C651" s="39" t="s">
        <v>652</v>
      </c>
      <c r="D651" s="39" t="s">
        <v>438</v>
      </c>
      <c r="E651" s="39" t="s">
        <v>646</v>
      </c>
      <c r="F651" s="39" t="s">
        <v>864</v>
      </c>
      <c r="G651" s="39" t="s">
        <v>650</v>
      </c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1"/>
    </row>
    <row r="652" spans="1:30" x14ac:dyDescent="0.3">
      <c r="A652" s="30" t="s">
        <v>427</v>
      </c>
      <c r="B652" s="31" t="s">
        <v>1017</v>
      </c>
      <c r="C652" s="32" t="s">
        <v>620</v>
      </c>
      <c r="D652" s="32" t="s">
        <v>428</v>
      </c>
      <c r="E652" s="32" t="s">
        <v>621</v>
      </c>
      <c r="F652" s="32"/>
      <c r="G652" s="32" t="s">
        <v>622</v>
      </c>
      <c r="H652" s="31" t="s">
        <v>623</v>
      </c>
      <c r="I652" s="31">
        <v>69</v>
      </c>
      <c r="J652" s="31" t="s">
        <v>626</v>
      </c>
      <c r="K652" s="31" t="s">
        <v>105</v>
      </c>
      <c r="L652" s="31" t="s">
        <v>624</v>
      </c>
      <c r="M652" s="31" t="s">
        <v>624</v>
      </c>
      <c r="N652" s="31" t="s">
        <v>624</v>
      </c>
      <c r="O652" s="31" t="s">
        <v>624</v>
      </c>
      <c r="P652" s="31" t="s">
        <v>624</v>
      </c>
      <c r="Q652" s="31" t="s">
        <v>624</v>
      </c>
      <c r="R652" s="31" t="s">
        <v>625</v>
      </c>
      <c r="S652" s="31" t="s">
        <v>625</v>
      </c>
      <c r="T652" s="31" t="s">
        <v>625</v>
      </c>
      <c r="U652" s="31" t="s">
        <v>625</v>
      </c>
      <c r="V652" s="31" t="s">
        <v>626</v>
      </c>
      <c r="W652" s="31" t="s">
        <v>625</v>
      </c>
      <c r="X652" s="31" t="s">
        <v>625</v>
      </c>
      <c r="Y652" s="31" t="s">
        <v>626</v>
      </c>
      <c r="Z652" s="31" t="s">
        <v>626</v>
      </c>
      <c r="AA652" s="31" t="s">
        <v>625</v>
      </c>
      <c r="AB652" s="31" t="s">
        <v>627</v>
      </c>
      <c r="AC652" s="31" t="s">
        <v>628</v>
      </c>
      <c r="AD652" s="33" t="s">
        <v>629</v>
      </c>
    </row>
    <row r="653" spans="1:30" x14ac:dyDescent="0.3">
      <c r="A653" s="34"/>
      <c r="B653" s="35"/>
      <c r="C653" s="25" t="s">
        <v>630</v>
      </c>
      <c r="D653" s="25" t="s">
        <v>429</v>
      </c>
      <c r="E653" s="25" t="s">
        <v>641</v>
      </c>
      <c r="F653" s="25" t="s">
        <v>632</v>
      </c>
      <c r="G653" s="25" t="s">
        <v>633</v>
      </c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6"/>
    </row>
    <row r="654" spans="1:30" x14ac:dyDescent="0.3">
      <c r="A654" s="34"/>
      <c r="B654" s="35"/>
      <c r="C654" s="25" t="s">
        <v>634</v>
      </c>
      <c r="D654" s="25" t="s">
        <v>387</v>
      </c>
      <c r="E654" s="25" t="s">
        <v>688</v>
      </c>
      <c r="F654" s="25" t="s">
        <v>724</v>
      </c>
      <c r="G654" s="25" t="s">
        <v>633</v>
      </c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6"/>
    </row>
    <row r="655" spans="1:30" x14ac:dyDescent="0.3">
      <c r="A655" s="34"/>
      <c r="B655" s="37"/>
      <c r="C655" s="25" t="s">
        <v>640</v>
      </c>
      <c r="D655" s="25" t="s">
        <v>430</v>
      </c>
      <c r="E655" s="25" t="s">
        <v>635</v>
      </c>
      <c r="F655" s="25" t="s">
        <v>636</v>
      </c>
      <c r="G655" s="25" t="s">
        <v>633</v>
      </c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6"/>
    </row>
    <row r="656" spans="1:30" x14ac:dyDescent="0.3">
      <c r="A656" s="34"/>
      <c r="B656" s="25" t="s">
        <v>626</v>
      </c>
      <c r="C656" s="25" t="s">
        <v>626</v>
      </c>
      <c r="D656" s="25" t="s">
        <v>1018</v>
      </c>
      <c r="E656" s="25" t="s">
        <v>648</v>
      </c>
      <c r="F656" s="25" t="s">
        <v>649</v>
      </c>
      <c r="G656" s="25" t="s">
        <v>650</v>
      </c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6"/>
    </row>
    <row r="657" spans="1:30" x14ac:dyDescent="0.3">
      <c r="A657" s="34"/>
      <c r="B657" s="25" t="s">
        <v>626</v>
      </c>
      <c r="C657" s="25" t="s">
        <v>626</v>
      </c>
      <c r="D657" s="25" t="s">
        <v>1019</v>
      </c>
      <c r="E657" s="25" t="s">
        <v>666</v>
      </c>
      <c r="F657" s="25" t="s">
        <v>667</v>
      </c>
      <c r="G657" s="25" t="s">
        <v>650</v>
      </c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6"/>
    </row>
    <row r="658" spans="1:30" x14ac:dyDescent="0.3">
      <c r="A658" s="34"/>
      <c r="B658" s="25" t="s">
        <v>870</v>
      </c>
      <c r="C658" s="25" t="s">
        <v>634</v>
      </c>
      <c r="D658" s="25" t="s">
        <v>100</v>
      </c>
      <c r="E658" s="25" t="s">
        <v>621</v>
      </c>
      <c r="F658" s="25" t="s">
        <v>653</v>
      </c>
      <c r="G658" s="25" t="s">
        <v>650</v>
      </c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6"/>
    </row>
    <row r="659" spans="1:30" x14ac:dyDescent="0.3">
      <c r="A659" s="34"/>
      <c r="B659" s="25" t="s">
        <v>1020</v>
      </c>
      <c r="C659" s="25" t="s">
        <v>637</v>
      </c>
      <c r="D659" s="25" t="s">
        <v>429</v>
      </c>
      <c r="E659" s="25" t="s">
        <v>641</v>
      </c>
      <c r="F659" s="25" t="s">
        <v>632</v>
      </c>
      <c r="G659" s="25" t="s">
        <v>650</v>
      </c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6"/>
    </row>
    <row r="660" spans="1:30" ht="15" thickBot="1" x14ac:dyDescent="0.35">
      <c r="A660" s="38"/>
      <c r="B660" s="39" t="s">
        <v>736</v>
      </c>
      <c r="C660" s="39" t="s">
        <v>642</v>
      </c>
      <c r="D660" s="39" t="s">
        <v>387</v>
      </c>
      <c r="E660" s="39" t="s">
        <v>688</v>
      </c>
      <c r="F660" s="39" t="s">
        <v>724</v>
      </c>
      <c r="G660" s="39" t="s">
        <v>650</v>
      </c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1"/>
    </row>
    <row r="661" spans="1:30" x14ac:dyDescent="0.3">
      <c r="A661" s="30" t="s">
        <v>231</v>
      </c>
      <c r="B661" s="31" t="s">
        <v>1021</v>
      </c>
      <c r="C661" s="32" t="s">
        <v>620</v>
      </c>
      <c r="D661" s="32" t="s">
        <v>232</v>
      </c>
      <c r="E661" s="32" t="s">
        <v>621</v>
      </c>
      <c r="F661" s="32"/>
      <c r="G661" s="32" t="s">
        <v>622</v>
      </c>
      <c r="H661" s="31" t="s">
        <v>772</v>
      </c>
      <c r="I661" s="31">
        <v>33</v>
      </c>
      <c r="J661" s="31">
        <v>18</v>
      </c>
      <c r="K661" s="31" t="s">
        <v>105</v>
      </c>
      <c r="L661" s="31" t="s">
        <v>624</v>
      </c>
      <c r="M661" s="31" t="s">
        <v>624</v>
      </c>
      <c r="N661" s="31" t="s">
        <v>624</v>
      </c>
      <c r="O661" s="31" t="s">
        <v>624</v>
      </c>
      <c r="P661" s="31" t="s">
        <v>624</v>
      </c>
      <c r="Q661" s="31" t="s">
        <v>624</v>
      </c>
      <c r="R661" s="31" t="s">
        <v>625</v>
      </c>
      <c r="S661" s="31" t="s">
        <v>625</v>
      </c>
      <c r="T661" s="31" t="s">
        <v>625</v>
      </c>
      <c r="U661" s="31" t="s">
        <v>625</v>
      </c>
      <c r="V661" s="31" t="s">
        <v>703</v>
      </c>
      <c r="W661" s="31" t="s">
        <v>625</v>
      </c>
      <c r="X661" s="31" t="s">
        <v>625</v>
      </c>
      <c r="Y661" s="31" t="s">
        <v>625</v>
      </c>
      <c r="Z661" s="31" t="s">
        <v>626</v>
      </c>
      <c r="AA661" s="31" t="s">
        <v>625</v>
      </c>
      <c r="AB661" s="31" t="s">
        <v>627</v>
      </c>
      <c r="AC661" s="31" t="s">
        <v>992</v>
      </c>
      <c r="AD661" s="33" t="s">
        <v>775</v>
      </c>
    </row>
    <row r="662" spans="1:30" x14ac:dyDescent="0.3">
      <c r="A662" s="34"/>
      <c r="B662" s="35"/>
      <c r="C662" s="25" t="s">
        <v>630</v>
      </c>
      <c r="D662" s="25" t="s">
        <v>117</v>
      </c>
      <c r="E662" s="25" t="s">
        <v>631</v>
      </c>
      <c r="F662" s="25" t="s">
        <v>632</v>
      </c>
      <c r="G662" s="25" t="s">
        <v>633</v>
      </c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6"/>
    </row>
    <row r="663" spans="1:30" x14ac:dyDescent="0.3">
      <c r="A663" s="34"/>
      <c r="B663" s="35"/>
      <c r="C663" s="25" t="s">
        <v>634</v>
      </c>
      <c r="D663" s="25" t="s">
        <v>64</v>
      </c>
      <c r="E663" s="25" t="s">
        <v>631</v>
      </c>
      <c r="F663" s="25" t="s">
        <v>632</v>
      </c>
      <c r="G663" s="25" t="s">
        <v>633</v>
      </c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6"/>
    </row>
    <row r="664" spans="1:30" x14ac:dyDescent="0.3">
      <c r="A664" s="34"/>
      <c r="B664" s="35"/>
      <c r="C664" s="25" t="s">
        <v>642</v>
      </c>
      <c r="D664" s="25" t="s">
        <v>233</v>
      </c>
      <c r="E664" s="25" t="s">
        <v>638</v>
      </c>
      <c r="F664" s="25" t="s">
        <v>639</v>
      </c>
      <c r="G664" s="25" t="s">
        <v>633</v>
      </c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6"/>
    </row>
    <row r="665" spans="1:30" x14ac:dyDescent="0.3">
      <c r="A665" s="34"/>
      <c r="B665" s="37"/>
      <c r="C665" s="25" t="s">
        <v>645</v>
      </c>
      <c r="D665" s="25" t="s">
        <v>189</v>
      </c>
      <c r="E665" s="25" t="s">
        <v>643</v>
      </c>
      <c r="F665" s="25" t="s">
        <v>724</v>
      </c>
      <c r="G665" s="25" t="s">
        <v>633</v>
      </c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6"/>
    </row>
    <row r="666" spans="1:30" x14ac:dyDescent="0.3">
      <c r="A666" s="34"/>
      <c r="B666" s="25" t="s">
        <v>875</v>
      </c>
      <c r="C666" s="25" t="s">
        <v>634</v>
      </c>
      <c r="D666" s="25" t="s">
        <v>192</v>
      </c>
      <c r="E666" s="25" t="s">
        <v>621</v>
      </c>
      <c r="F666" s="25" t="s">
        <v>653</v>
      </c>
      <c r="G666" s="25" t="s">
        <v>650</v>
      </c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6"/>
    </row>
    <row r="667" spans="1:30" x14ac:dyDescent="0.3">
      <c r="A667" s="34"/>
      <c r="B667" s="25" t="s">
        <v>918</v>
      </c>
      <c r="C667" s="25" t="s">
        <v>637</v>
      </c>
      <c r="D667" s="25" t="s">
        <v>64</v>
      </c>
      <c r="E667" s="25" t="s">
        <v>631</v>
      </c>
      <c r="F667" s="25" t="s">
        <v>632</v>
      </c>
      <c r="G667" s="25" t="s">
        <v>650</v>
      </c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6"/>
    </row>
    <row r="668" spans="1:30" x14ac:dyDescent="0.3">
      <c r="A668" s="34"/>
      <c r="B668" s="25" t="s">
        <v>1022</v>
      </c>
      <c r="C668" s="25" t="s">
        <v>630</v>
      </c>
      <c r="D668" s="25" t="s">
        <v>117</v>
      </c>
      <c r="E668" s="25" t="s">
        <v>631</v>
      </c>
      <c r="F668" s="25" t="s">
        <v>632</v>
      </c>
      <c r="G668" s="25" t="s">
        <v>650</v>
      </c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6"/>
    </row>
    <row r="669" spans="1:30" x14ac:dyDescent="0.3">
      <c r="A669" s="34"/>
      <c r="B669" s="25" t="s">
        <v>980</v>
      </c>
      <c r="C669" s="25" t="s">
        <v>637</v>
      </c>
      <c r="D669" s="25" t="s">
        <v>233</v>
      </c>
      <c r="E669" s="25" t="s">
        <v>638</v>
      </c>
      <c r="F669" s="25" t="s">
        <v>639</v>
      </c>
      <c r="G669" s="25" t="s">
        <v>650</v>
      </c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6"/>
    </row>
    <row r="670" spans="1:30" x14ac:dyDescent="0.3">
      <c r="A670" s="34"/>
      <c r="B670" s="25" t="s">
        <v>747</v>
      </c>
      <c r="C670" s="25" t="s">
        <v>640</v>
      </c>
      <c r="D670" s="25" t="s">
        <v>189</v>
      </c>
      <c r="E670" s="25" t="s">
        <v>643</v>
      </c>
      <c r="F670" s="25" t="s">
        <v>724</v>
      </c>
      <c r="G670" s="25" t="s">
        <v>650</v>
      </c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6"/>
    </row>
    <row r="671" spans="1:30" x14ac:dyDescent="0.3">
      <c r="A671" s="34"/>
      <c r="B671" s="25" t="s">
        <v>1002</v>
      </c>
      <c r="C671" s="25" t="s">
        <v>652</v>
      </c>
      <c r="D671" s="25" t="s">
        <v>71</v>
      </c>
      <c r="E671" s="25" t="s">
        <v>646</v>
      </c>
      <c r="F671" s="25" t="s">
        <v>864</v>
      </c>
      <c r="G671" s="25" t="s">
        <v>650</v>
      </c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6"/>
    </row>
    <row r="672" spans="1:30" x14ac:dyDescent="0.3">
      <c r="A672" s="30" t="s">
        <v>225</v>
      </c>
      <c r="B672" s="31" t="s">
        <v>1023</v>
      </c>
      <c r="C672" s="32" t="s">
        <v>620</v>
      </c>
      <c r="D672" s="32" t="s">
        <v>226</v>
      </c>
      <c r="E672" s="32" t="s">
        <v>621</v>
      </c>
      <c r="F672" s="32"/>
      <c r="G672" s="32" t="s">
        <v>622</v>
      </c>
      <c r="H672" s="31" t="s">
        <v>702</v>
      </c>
      <c r="I672" s="31">
        <v>32</v>
      </c>
      <c r="J672" s="31" t="s">
        <v>626</v>
      </c>
      <c r="K672" s="31" t="s">
        <v>105</v>
      </c>
      <c r="L672" s="31" t="s">
        <v>624</v>
      </c>
      <c r="M672" s="31" t="s">
        <v>624</v>
      </c>
      <c r="N672" s="31" t="s">
        <v>624</v>
      </c>
      <c r="O672" s="31" t="s">
        <v>624</v>
      </c>
      <c r="P672" s="31" t="s">
        <v>624</v>
      </c>
      <c r="Q672" s="31" t="s">
        <v>624</v>
      </c>
      <c r="R672" s="31" t="s">
        <v>625</v>
      </c>
      <c r="S672" s="31" t="s">
        <v>625</v>
      </c>
      <c r="T672" s="31" t="s">
        <v>625</v>
      </c>
      <c r="U672" s="31" t="s">
        <v>625</v>
      </c>
      <c r="V672" s="31" t="s">
        <v>626</v>
      </c>
      <c r="W672" s="31" t="s">
        <v>625</v>
      </c>
      <c r="X672" s="31" t="s">
        <v>625</v>
      </c>
      <c r="Y672" s="31" t="s">
        <v>625</v>
      </c>
      <c r="Z672" s="31" t="s">
        <v>626</v>
      </c>
      <c r="AA672" s="31" t="s">
        <v>625</v>
      </c>
      <c r="AB672" s="31" t="s">
        <v>627</v>
      </c>
      <c r="AC672" s="31" t="s">
        <v>628</v>
      </c>
      <c r="AD672" s="33" t="s">
        <v>706</v>
      </c>
    </row>
    <row r="673" spans="1:30" x14ac:dyDescent="0.3">
      <c r="A673" s="34"/>
      <c r="B673" s="35"/>
      <c r="C673" s="25" t="s">
        <v>630</v>
      </c>
      <c r="D673" s="25" t="s">
        <v>30</v>
      </c>
      <c r="E673" s="25" t="s">
        <v>638</v>
      </c>
      <c r="F673" s="25" t="s">
        <v>639</v>
      </c>
      <c r="G673" s="25" t="s">
        <v>633</v>
      </c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6"/>
    </row>
    <row r="674" spans="1:30" x14ac:dyDescent="0.3">
      <c r="A674" s="34"/>
      <c r="B674" s="35"/>
      <c r="C674" s="25" t="s">
        <v>634</v>
      </c>
      <c r="D674" s="25" t="s">
        <v>227</v>
      </c>
      <c r="E674" s="25" t="s">
        <v>641</v>
      </c>
      <c r="F674" s="25" t="s">
        <v>632</v>
      </c>
      <c r="G674" s="25" t="s">
        <v>633</v>
      </c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6"/>
    </row>
    <row r="675" spans="1:30" x14ac:dyDescent="0.3">
      <c r="A675" s="34"/>
      <c r="B675" s="35"/>
      <c r="C675" s="25" t="s">
        <v>642</v>
      </c>
      <c r="D675" s="25" t="s">
        <v>228</v>
      </c>
      <c r="E675" s="25" t="s">
        <v>638</v>
      </c>
      <c r="F675" s="25" t="s">
        <v>639</v>
      </c>
      <c r="G675" s="25" t="s">
        <v>633</v>
      </c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6"/>
    </row>
    <row r="676" spans="1:30" x14ac:dyDescent="0.3">
      <c r="A676" s="34"/>
      <c r="B676" s="37"/>
      <c r="C676" s="25" t="s">
        <v>645</v>
      </c>
      <c r="D676" s="25" t="s">
        <v>190</v>
      </c>
      <c r="E676" s="25" t="s">
        <v>643</v>
      </c>
      <c r="F676" s="25" t="s">
        <v>763</v>
      </c>
      <c r="G676" s="25" t="s">
        <v>633</v>
      </c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6"/>
    </row>
    <row r="677" spans="1:30" x14ac:dyDescent="0.3">
      <c r="A677" s="34"/>
      <c r="B677" s="25" t="s">
        <v>626</v>
      </c>
      <c r="C677" s="25" t="s">
        <v>626</v>
      </c>
      <c r="D677" s="25" t="s">
        <v>229</v>
      </c>
      <c r="E677" s="25" t="s">
        <v>707</v>
      </c>
      <c r="F677" s="25" t="s">
        <v>936</v>
      </c>
      <c r="G677" s="25" t="s">
        <v>650</v>
      </c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6"/>
    </row>
    <row r="678" spans="1:30" x14ac:dyDescent="0.3">
      <c r="A678" s="34"/>
      <c r="B678" s="25" t="s">
        <v>881</v>
      </c>
      <c r="C678" s="25" t="s">
        <v>634</v>
      </c>
      <c r="D678" s="25" t="s">
        <v>46</v>
      </c>
      <c r="E678" s="25" t="s">
        <v>621</v>
      </c>
      <c r="F678" s="25" t="s">
        <v>653</v>
      </c>
      <c r="G678" s="25" t="s">
        <v>650</v>
      </c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6"/>
    </row>
    <row r="679" spans="1:30" x14ac:dyDescent="0.3">
      <c r="A679" s="34"/>
      <c r="B679" s="25" t="s">
        <v>758</v>
      </c>
      <c r="C679" s="25" t="s">
        <v>640</v>
      </c>
      <c r="D679" s="25" t="s">
        <v>227</v>
      </c>
      <c r="E679" s="25" t="s">
        <v>641</v>
      </c>
      <c r="F679" s="25" t="s">
        <v>632</v>
      </c>
      <c r="G679" s="25" t="s">
        <v>650</v>
      </c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6"/>
    </row>
    <row r="680" spans="1:30" x14ac:dyDescent="0.3">
      <c r="A680" s="34"/>
      <c r="B680" s="25" t="s">
        <v>670</v>
      </c>
      <c r="C680" s="25" t="s">
        <v>1024</v>
      </c>
      <c r="D680" s="25" t="s">
        <v>30</v>
      </c>
      <c r="E680" s="25" t="s">
        <v>638</v>
      </c>
      <c r="F680" s="25" t="s">
        <v>639</v>
      </c>
      <c r="G680" s="25" t="s">
        <v>650</v>
      </c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6"/>
    </row>
    <row r="681" spans="1:30" x14ac:dyDescent="0.3">
      <c r="A681" s="34"/>
      <c r="B681" s="25" t="s">
        <v>972</v>
      </c>
      <c r="C681" s="25" t="s">
        <v>652</v>
      </c>
      <c r="D681" s="25" t="s">
        <v>228</v>
      </c>
      <c r="E681" s="25" t="s">
        <v>638</v>
      </c>
      <c r="F681" s="25" t="s">
        <v>639</v>
      </c>
      <c r="G681" s="25" t="s">
        <v>650</v>
      </c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6"/>
    </row>
    <row r="682" spans="1:30" x14ac:dyDescent="0.3">
      <c r="A682" s="34"/>
      <c r="B682" s="25" t="s">
        <v>759</v>
      </c>
      <c r="C682" s="25" t="s">
        <v>652</v>
      </c>
      <c r="D682" s="25" t="s">
        <v>137</v>
      </c>
      <c r="E682" s="25" t="s">
        <v>760</v>
      </c>
      <c r="F682" s="25" t="s">
        <v>686</v>
      </c>
      <c r="G682" s="25" t="s">
        <v>650</v>
      </c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6"/>
    </row>
    <row r="683" spans="1:30" ht="15" thickBot="1" x14ac:dyDescent="0.35">
      <c r="A683" s="38"/>
      <c r="B683" s="39" t="s">
        <v>847</v>
      </c>
      <c r="C683" s="39" t="s">
        <v>645</v>
      </c>
      <c r="D683" s="39" t="s">
        <v>190</v>
      </c>
      <c r="E683" s="39" t="s">
        <v>643</v>
      </c>
      <c r="F683" s="39" t="s">
        <v>763</v>
      </c>
      <c r="G683" s="39" t="s">
        <v>650</v>
      </c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1"/>
    </row>
    <row r="684" spans="1:30" x14ac:dyDescent="0.3">
      <c r="A684" s="30" t="s">
        <v>219</v>
      </c>
      <c r="B684" s="31" t="s">
        <v>1025</v>
      </c>
      <c r="C684" s="32" t="s">
        <v>620</v>
      </c>
      <c r="D684" s="32" t="s">
        <v>220</v>
      </c>
      <c r="E684" s="32" t="s">
        <v>621</v>
      </c>
      <c r="F684" s="32"/>
      <c r="G684" s="32" t="s">
        <v>622</v>
      </c>
      <c r="H684" s="31" t="s">
        <v>623</v>
      </c>
      <c r="I684" s="31">
        <v>31</v>
      </c>
      <c r="J684" s="31" t="s">
        <v>626</v>
      </c>
      <c r="K684" s="31" t="s">
        <v>105</v>
      </c>
      <c r="L684" s="31" t="s">
        <v>624</v>
      </c>
      <c r="M684" s="31" t="s">
        <v>624</v>
      </c>
      <c r="N684" s="31" t="s">
        <v>624</v>
      </c>
      <c r="O684" s="31" t="s">
        <v>624</v>
      </c>
      <c r="P684" s="31" t="s">
        <v>624</v>
      </c>
      <c r="Q684" s="31" t="s">
        <v>624</v>
      </c>
      <c r="R684" s="31" t="s">
        <v>625</v>
      </c>
      <c r="S684" s="31" t="s">
        <v>625</v>
      </c>
      <c r="T684" s="31" t="s">
        <v>625</v>
      </c>
      <c r="U684" s="31" t="s">
        <v>625</v>
      </c>
      <c r="V684" s="31" t="s">
        <v>626</v>
      </c>
      <c r="W684" s="31" t="s">
        <v>625</v>
      </c>
      <c r="X684" s="31" t="s">
        <v>625</v>
      </c>
      <c r="Y684" s="31" t="s">
        <v>626</v>
      </c>
      <c r="Z684" s="31" t="s">
        <v>626</v>
      </c>
      <c r="AA684" s="31" t="s">
        <v>625</v>
      </c>
      <c r="AB684" s="31" t="s">
        <v>627</v>
      </c>
      <c r="AC684" s="31" t="s">
        <v>628</v>
      </c>
      <c r="AD684" s="33" t="s">
        <v>629</v>
      </c>
    </row>
    <row r="685" spans="1:30" x14ac:dyDescent="0.3">
      <c r="A685" s="34"/>
      <c r="B685" s="35"/>
      <c r="C685" s="25" t="s">
        <v>630</v>
      </c>
      <c r="D685" s="25" t="s">
        <v>126</v>
      </c>
      <c r="E685" s="25" t="s">
        <v>760</v>
      </c>
      <c r="F685" s="25" t="s">
        <v>693</v>
      </c>
      <c r="G685" s="25" t="s">
        <v>633</v>
      </c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6"/>
    </row>
    <row r="686" spans="1:30" x14ac:dyDescent="0.3">
      <c r="A686" s="34"/>
      <c r="B686" s="35"/>
      <c r="C686" s="25" t="s">
        <v>634</v>
      </c>
      <c r="D686" s="25" t="s">
        <v>221</v>
      </c>
      <c r="E686" s="25" t="s">
        <v>725</v>
      </c>
      <c r="F686" s="25" t="s">
        <v>809</v>
      </c>
      <c r="G686" s="25" t="s">
        <v>633</v>
      </c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6"/>
    </row>
    <row r="687" spans="1:30" x14ac:dyDescent="0.3">
      <c r="A687" s="34"/>
      <c r="B687" s="37"/>
      <c r="C687" s="25" t="s">
        <v>637</v>
      </c>
      <c r="D687" s="25" t="s">
        <v>222</v>
      </c>
      <c r="E687" s="25" t="s">
        <v>643</v>
      </c>
      <c r="F687" s="25" t="s">
        <v>809</v>
      </c>
      <c r="G687" s="25" t="s">
        <v>633</v>
      </c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6"/>
    </row>
    <row r="688" spans="1:30" x14ac:dyDescent="0.3">
      <c r="A688" s="34"/>
      <c r="B688" s="25" t="s">
        <v>626</v>
      </c>
      <c r="C688" s="25" t="s">
        <v>626</v>
      </c>
      <c r="D688" s="25" t="s">
        <v>223</v>
      </c>
      <c r="E688" s="25" t="s">
        <v>707</v>
      </c>
      <c r="F688" s="25" t="s">
        <v>936</v>
      </c>
      <c r="G688" s="25" t="s">
        <v>650</v>
      </c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6"/>
    </row>
    <row r="689" spans="1:30" x14ac:dyDescent="0.3">
      <c r="A689" s="34"/>
      <c r="B689" s="25" t="s">
        <v>888</v>
      </c>
      <c r="C689" s="25" t="s">
        <v>634</v>
      </c>
      <c r="D689" s="25" t="s">
        <v>33</v>
      </c>
      <c r="E689" s="25" t="s">
        <v>621</v>
      </c>
      <c r="F689" s="25" t="s">
        <v>653</v>
      </c>
      <c r="G689" s="25" t="s">
        <v>650</v>
      </c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6"/>
    </row>
    <row r="690" spans="1:30" x14ac:dyDescent="0.3">
      <c r="A690" s="34"/>
      <c r="B690" s="25" t="s">
        <v>820</v>
      </c>
      <c r="C690" s="25" t="s">
        <v>630</v>
      </c>
      <c r="D690" s="25" t="s">
        <v>222</v>
      </c>
      <c r="E690" s="25" t="s">
        <v>643</v>
      </c>
      <c r="F690" s="25" t="s">
        <v>809</v>
      </c>
      <c r="G690" s="25" t="s">
        <v>650</v>
      </c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6"/>
    </row>
    <row r="691" spans="1:30" x14ac:dyDescent="0.3">
      <c r="A691" s="34"/>
      <c r="B691" s="25" t="s">
        <v>908</v>
      </c>
      <c r="C691" s="25" t="s">
        <v>640</v>
      </c>
      <c r="D691" s="25" t="s">
        <v>221</v>
      </c>
      <c r="E691" s="25" t="s">
        <v>725</v>
      </c>
      <c r="F691" s="25" t="s">
        <v>809</v>
      </c>
      <c r="G691" s="25" t="s">
        <v>650</v>
      </c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6"/>
    </row>
    <row r="692" spans="1:30" ht="15" thickBot="1" x14ac:dyDescent="0.35">
      <c r="A692" s="38"/>
      <c r="B692" s="39" t="s">
        <v>770</v>
      </c>
      <c r="C692" s="39" t="s">
        <v>634</v>
      </c>
      <c r="D692" s="39" t="s">
        <v>126</v>
      </c>
      <c r="E692" s="39" t="s">
        <v>760</v>
      </c>
      <c r="F692" s="39" t="s">
        <v>693</v>
      </c>
      <c r="G692" s="39" t="s">
        <v>650</v>
      </c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1"/>
    </row>
    <row r="693" spans="1:30" x14ac:dyDescent="0.3">
      <c r="A693" s="30" t="s">
        <v>264</v>
      </c>
      <c r="B693" s="31" t="s">
        <v>1026</v>
      </c>
      <c r="C693" s="32" t="s">
        <v>620</v>
      </c>
      <c r="D693" s="32" t="s">
        <v>265</v>
      </c>
      <c r="E693" s="32" t="s">
        <v>621</v>
      </c>
      <c r="F693" s="32"/>
      <c r="G693" s="32" t="s">
        <v>622</v>
      </c>
      <c r="H693" s="31" t="s">
        <v>702</v>
      </c>
      <c r="I693" s="31">
        <v>42</v>
      </c>
      <c r="J693" s="31" t="s">
        <v>626</v>
      </c>
      <c r="K693" s="31" t="s">
        <v>105</v>
      </c>
      <c r="L693" s="31" t="s">
        <v>624</v>
      </c>
      <c r="M693" s="31" t="s">
        <v>624</v>
      </c>
      <c r="N693" s="31" t="s">
        <v>624</v>
      </c>
      <c r="O693" s="31" t="s">
        <v>624</v>
      </c>
      <c r="P693" s="31" t="s">
        <v>624</v>
      </c>
      <c r="Q693" s="31" t="s">
        <v>624</v>
      </c>
      <c r="R693" s="31" t="s">
        <v>625</v>
      </c>
      <c r="S693" s="31" t="s">
        <v>625</v>
      </c>
      <c r="T693" s="31" t="s">
        <v>625</v>
      </c>
      <c r="U693" s="31" t="s">
        <v>625</v>
      </c>
      <c r="V693" s="31" t="s">
        <v>626</v>
      </c>
      <c r="W693" s="31" t="s">
        <v>625</v>
      </c>
      <c r="X693" s="31" t="s">
        <v>625</v>
      </c>
      <c r="Y693" s="31" t="s">
        <v>625</v>
      </c>
      <c r="Z693" s="31" t="s">
        <v>626</v>
      </c>
      <c r="AA693" s="31" t="s">
        <v>625</v>
      </c>
      <c r="AB693" s="31" t="s">
        <v>627</v>
      </c>
      <c r="AC693" s="31" t="s">
        <v>628</v>
      </c>
      <c r="AD693" s="33" t="s">
        <v>706</v>
      </c>
    </row>
    <row r="694" spans="1:30" x14ac:dyDescent="0.3">
      <c r="A694" s="34"/>
      <c r="B694" s="35"/>
      <c r="C694" s="25" t="s">
        <v>652</v>
      </c>
      <c r="D694" s="25" t="s">
        <v>65</v>
      </c>
      <c r="E694" s="25" t="s">
        <v>725</v>
      </c>
      <c r="F694" s="25" t="s">
        <v>753</v>
      </c>
      <c r="G694" s="25" t="s">
        <v>633</v>
      </c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6"/>
    </row>
    <row r="695" spans="1:30" x14ac:dyDescent="0.3">
      <c r="A695" s="34"/>
      <c r="B695" s="35"/>
      <c r="C695" s="25" t="s">
        <v>630</v>
      </c>
      <c r="D695" s="25" t="s">
        <v>266</v>
      </c>
      <c r="E695" s="25" t="s">
        <v>712</v>
      </c>
      <c r="F695" s="25" t="s">
        <v>713</v>
      </c>
      <c r="G695" s="25" t="s">
        <v>633</v>
      </c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6"/>
    </row>
    <row r="696" spans="1:30" x14ac:dyDescent="0.3">
      <c r="A696" s="34"/>
      <c r="B696" s="35"/>
      <c r="C696" s="25" t="s">
        <v>640</v>
      </c>
      <c r="D696" s="25" t="s">
        <v>56</v>
      </c>
      <c r="E696" s="25" t="s">
        <v>638</v>
      </c>
      <c r="F696" s="25" t="s">
        <v>639</v>
      </c>
      <c r="G696" s="25" t="s">
        <v>633</v>
      </c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6"/>
    </row>
    <row r="697" spans="1:30" x14ac:dyDescent="0.3">
      <c r="A697" s="34"/>
      <c r="B697" s="35"/>
      <c r="C697" s="25" t="s">
        <v>642</v>
      </c>
      <c r="D697" s="25" t="s">
        <v>267</v>
      </c>
      <c r="E697" s="25" t="s">
        <v>631</v>
      </c>
      <c r="F697" s="25" t="s">
        <v>632</v>
      </c>
      <c r="G697" s="25" t="s">
        <v>633</v>
      </c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6"/>
    </row>
    <row r="698" spans="1:30" x14ac:dyDescent="0.3">
      <c r="A698" s="34"/>
      <c r="B698" s="37"/>
      <c r="C698" s="25" t="s">
        <v>645</v>
      </c>
      <c r="D698" s="25" t="s">
        <v>160</v>
      </c>
      <c r="E698" s="25" t="s">
        <v>638</v>
      </c>
      <c r="F698" s="25" t="s">
        <v>639</v>
      </c>
      <c r="G698" s="25" t="s">
        <v>633</v>
      </c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6"/>
    </row>
    <row r="699" spans="1:30" x14ac:dyDescent="0.3">
      <c r="A699" s="34"/>
      <c r="B699" s="25" t="s">
        <v>892</v>
      </c>
      <c r="C699" s="25" t="s">
        <v>630</v>
      </c>
      <c r="D699" s="25" t="s">
        <v>136</v>
      </c>
      <c r="E699" s="25" t="s">
        <v>621</v>
      </c>
      <c r="F699" s="25" t="s">
        <v>653</v>
      </c>
      <c r="G699" s="25" t="s">
        <v>650</v>
      </c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6"/>
    </row>
    <row r="700" spans="1:30" x14ac:dyDescent="0.3">
      <c r="A700" s="34"/>
      <c r="B700" s="25" t="s">
        <v>780</v>
      </c>
      <c r="C700" s="25" t="s">
        <v>652</v>
      </c>
      <c r="D700" s="25" t="s">
        <v>267</v>
      </c>
      <c r="E700" s="25" t="s">
        <v>631</v>
      </c>
      <c r="F700" s="25" t="s">
        <v>632</v>
      </c>
      <c r="G700" s="25" t="s">
        <v>650</v>
      </c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6"/>
    </row>
    <row r="701" spans="1:30" x14ac:dyDescent="0.3">
      <c r="A701" s="34"/>
      <c r="B701" s="25" t="s">
        <v>788</v>
      </c>
      <c r="C701" s="25" t="s">
        <v>640</v>
      </c>
      <c r="D701" s="25" t="s">
        <v>56</v>
      </c>
      <c r="E701" s="25" t="s">
        <v>638</v>
      </c>
      <c r="F701" s="25" t="s">
        <v>639</v>
      </c>
      <c r="G701" s="25" t="s">
        <v>650</v>
      </c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6"/>
    </row>
    <row r="702" spans="1:30" x14ac:dyDescent="0.3">
      <c r="A702" s="34"/>
      <c r="B702" s="25" t="s">
        <v>957</v>
      </c>
      <c r="C702" s="25" t="s">
        <v>640</v>
      </c>
      <c r="D702" s="25" t="s">
        <v>160</v>
      </c>
      <c r="E702" s="25" t="s">
        <v>638</v>
      </c>
      <c r="F702" s="25" t="s">
        <v>639</v>
      </c>
      <c r="G702" s="25" t="s">
        <v>650</v>
      </c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6"/>
    </row>
    <row r="703" spans="1:30" x14ac:dyDescent="0.3">
      <c r="A703" s="34"/>
      <c r="B703" s="25" t="s">
        <v>717</v>
      </c>
      <c r="C703" s="25" t="s">
        <v>652</v>
      </c>
      <c r="D703" s="25" t="s">
        <v>266</v>
      </c>
      <c r="E703" s="25" t="s">
        <v>712</v>
      </c>
      <c r="F703" s="25" t="s">
        <v>713</v>
      </c>
      <c r="G703" s="25" t="s">
        <v>650</v>
      </c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6"/>
    </row>
    <row r="704" spans="1:30" x14ac:dyDescent="0.3">
      <c r="A704" s="34"/>
      <c r="B704" s="25" t="s">
        <v>835</v>
      </c>
      <c r="C704" s="25" t="s">
        <v>634</v>
      </c>
      <c r="D704" s="25" t="s">
        <v>65</v>
      </c>
      <c r="E704" s="25" t="s">
        <v>725</v>
      </c>
      <c r="F704" s="25" t="s">
        <v>753</v>
      </c>
      <c r="G704" s="25" t="s">
        <v>650</v>
      </c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6"/>
    </row>
    <row r="705" spans="1:30" x14ac:dyDescent="0.3">
      <c r="A705" s="30" t="s">
        <v>258</v>
      </c>
      <c r="B705" s="31" t="s">
        <v>1027</v>
      </c>
      <c r="C705" s="32" t="s">
        <v>620</v>
      </c>
      <c r="D705" s="32" t="s">
        <v>259</v>
      </c>
      <c r="E705" s="32" t="s">
        <v>621</v>
      </c>
      <c r="F705" s="32"/>
      <c r="G705" s="32" t="s">
        <v>622</v>
      </c>
      <c r="H705" s="31" t="s">
        <v>702</v>
      </c>
      <c r="I705" s="31">
        <v>41</v>
      </c>
      <c r="J705" s="31" t="s">
        <v>626</v>
      </c>
      <c r="K705" s="31" t="s">
        <v>105</v>
      </c>
      <c r="L705" s="31" t="s">
        <v>624</v>
      </c>
      <c r="M705" s="31" t="s">
        <v>624</v>
      </c>
      <c r="N705" s="31" t="s">
        <v>624</v>
      </c>
      <c r="O705" s="31" t="s">
        <v>624</v>
      </c>
      <c r="P705" s="31" t="s">
        <v>624</v>
      </c>
      <c r="Q705" s="31" t="s">
        <v>624</v>
      </c>
      <c r="R705" s="31" t="s">
        <v>625</v>
      </c>
      <c r="S705" s="31" t="s">
        <v>625</v>
      </c>
      <c r="T705" s="31" t="s">
        <v>625</v>
      </c>
      <c r="U705" s="31" t="s">
        <v>625</v>
      </c>
      <c r="V705" s="31" t="s">
        <v>626</v>
      </c>
      <c r="W705" s="31" t="s">
        <v>625</v>
      </c>
      <c r="X705" s="31" t="s">
        <v>625</v>
      </c>
      <c r="Y705" s="31" t="s">
        <v>625</v>
      </c>
      <c r="Z705" s="31" t="s">
        <v>626</v>
      </c>
      <c r="AA705" s="31" t="s">
        <v>625</v>
      </c>
      <c r="AB705" s="31" t="s">
        <v>627</v>
      </c>
      <c r="AC705" s="31" t="s">
        <v>628</v>
      </c>
      <c r="AD705" s="33" t="s">
        <v>706</v>
      </c>
    </row>
    <row r="706" spans="1:30" x14ac:dyDescent="0.3">
      <c r="A706" s="34"/>
      <c r="B706" s="35"/>
      <c r="C706" s="25" t="s">
        <v>630</v>
      </c>
      <c r="D706" s="25" t="s">
        <v>260</v>
      </c>
      <c r="E706" s="25" t="s">
        <v>712</v>
      </c>
      <c r="F706" s="25" t="s">
        <v>943</v>
      </c>
      <c r="G706" s="25" t="s">
        <v>633</v>
      </c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6"/>
    </row>
    <row r="707" spans="1:30" x14ac:dyDescent="0.3">
      <c r="A707" s="34"/>
      <c r="B707" s="35"/>
      <c r="C707" s="25" t="s">
        <v>634</v>
      </c>
      <c r="D707" s="25" t="s">
        <v>67</v>
      </c>
      <c r="E707" s="25" t="s">
        <v>638</v>
      </c>
      <c r="F707" s="25" t="s">
        <v>639</v>
      </c>
      <c r="G707" s="25" t="s">
        <v>633</v>
      </c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6"/>
    </row>
    <row r="708" spans="1:30" x14ac:dyDescent="0.3">
      <c r="A708" s="34"/>
      <c r="B708" s="35"/>
      <c r="C708" s="25" t="s">
        <v>642</v>
      </c>
      <c r="D708" s="25" t="s">
        <v>261</v>
      </c>
      <c r="E708" s="25" t="s">
        <v>631</v>
      </c>
      <c r="F708" s="25" t="s">
        <v>632</v>
      </c>
      <c r="G708" s="25" t="s">
        <v>633</v>
      </c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6"/>
    </row>
    <row r="709" spans="1:30" x14ac:dyDescent="0.3">
      <c r="A709" s="34"/>
      <c r="B709" s="37"/>
      <c r="C709" s="25" t="s">
        <v>645</v>
      </c>
      <c r="D709" s="25" t="s">
        <v>150</v>
      </c>
      <c r="E709" s="25" t="s">
        <v>638</v>
      </c>
      <c r="F709" s="25" t="s">
        <v>639</v>
      </c>
      <c r="G709" s="25" t="s">
        <v>633</v>
      </c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6"/>
    </row>
    <row r="710" spans="1:30" x14ac:dyDescent="0.3">
      <c r="A710" s="34"/>
      <c r="B710" s="25" t="s">
        <v>897</v>
      </c>
      <c r="C710" s="25" t="s">
        <v>630</v>
      </c>
      <c r="D710" s="25" t="s">
        <v>262</v>
      </c>
      <c r="E710" s="25" t="s">
        <v>621</v>
      </c>
      <c r="F710" s="25" t="s">
        <v>653</v>
      </c>
      <c r="G710" s="25" t="s">
        <v>650</v>
      </c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6"/>
    </row>
    <row r="711" spans="1:30" x14ac:dyDescent="0.3">
      <c r="A711" s="34"/>
      <c r="B711" s="25" t="s">
        <v>786</v>
      </c>
      <c r="C711" s="25" t="s">
        <v>630</v>
      </c>
      <c r="D711" s="25" t="s">
        <v>261</v>
      </c>
      <c r="E711" s="25" t="s">
        <v>631</v>
      </c>
      <c r="F711" s="25" t="s">
        <v>632</v>
      </c>
      <c r="G711" s="25" t="s">
        <v>650</v>
      </c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6"/>
    </row>
    <row r="712" spans="1:30" x14ac:dyDescent="0.3">
      <c r="A712" s="34"/>
      <c r="B712" s="25" t="s">
        <v>781</v>
      </c>
      <c r="C712" s="25" t="s">
        <v>640</v>
      </c>
      <c r="D712" s="25" t="s">
        <v>67</v>
      </c>
      <c r="E712" s="25" t="s">
        <v>638</v>
      </c>
      <c r="F712" s="25" t="s">
        <v>639</v>
      </c>
      <c r="G712" s="25" t="s">
        <v>650</v>
      </c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6"/>
    </row>
    <row r="713" spans="1:30" x14ac:dyDescent="0.3">
      <c r="A713" s="34"/>
      <c r="B713" s="25" t="s">
        <v>962</v>
      </c>
      <c r="C713" s="25" t="s">
        <v>637</v>
      </c>
      <c r="D713" s="25" t="s">
        <v>150</v>
      </c>
      <c r="E713" s="25" t="s">
        <v>638</v>
      </c>
      <c r="F713" s="25" t="s">
        <v>639</v>
      </c>
      <c r="G713" s="25" t="s">
        <v>650</v>
      </c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6"/>
    </row>
    <row r="714" spans="1:30" x14ac:dyDescent="0.3">
      <c r="A714" s="34"/>
      <c r="B714" s="25" t="s">
        <v>946</v>
      </c>
      <c r="C714" s="25" t="s">
        <v>630</v>
      </c>
      <c r="D714" s="25" t="s">
        <v>260</v>
      </c>
      <c r="E714" s="25" t="s">
        <v>712</v>
      </c>
      <c r="F714" s="25" t="s">
        <v>943</v>
      </c>
      <c r="G714" s="25" t="s">
        <v>650</v>
      </c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6"/>
    </row>
    <row r="715" spans="1:30" x14ac:dyDescent="0.3">
      <c r="A715" s="30" t="s">
        <v>244</v>
      </c>
      <c r="B715" s="31" t="s">
        <v>1028</v>
      </c>
      <c r="C715" s="32" t="s">
        <v>620</v>
      </c>
      <c r="D715" s="32" t="s">
        <v>245</v>
      </c>
      <c r="E715" s="32" t="s">
        <v>621</v>
      </c>
      <c r="F715" s="32"/>
      <c r="G715" s="32" t="s">
        <v>622</v>
      </c>
      <c r="H715" s="31" t="s">
        <v>702</v>
      </c>
      <c r="I715" s="31">
        <v>36</v>
      </c>
      <c r="J715" s="31" t="s">
        <v>626</v>
      </c>
      <c r="K715" s="31" t="s">
        <v>105</v>
      </c>
      <c r="L715" s="31" t="s">
        <v>624</v>
      </c>
      <c r="M715" s="31" t="s">
        <v>624</v>
      </c>
      <c r="N715" s="31" t="s">
        <v>624</v>
      </c>
      <c r="O715" s="31" t="s">
        <v>624</v>
      </c>
      <c r="P715" s="31" t="s">
        <v>624</v>
      </c>
      <c r="Q715" s="31" t="s">
        <v>624</v>
      </c>
      <c r="R715" s="31" t="s">
        <v>625</v>
      </c>
      <c r="S715" s="31" t="s">
        <v>625</v>
      </c>
      <c r="T715" s="31" t="s">
        <v>625</v>
      </c>
      <c r="U715" s="31" t="s">
        <v>625</v>
      </c>
      <c r="V715" s="31" t="s">
        <v>626</v>
      </c>
      <c r="W715" s="31" t="s">
        <v>625</v>
      </c>
      <c r="X715" s="31" t="s">
        <v>625</v>
      </c>
      <c r="Y715" s="31" t="s">
        <v>625</v>
      </c>
      <c r="Z715" s="31" t="s">
        <v>626</v>
      </c>
      <c r="AA715" s="31" t="s">
        <v>625</v>
      </c>
      <c r="AB715" s="31" t="s">
        <v>627</v>
      </c>
      <c r="AC715" s="31" t="s">
        <v>628</v>
      </c>
      <c r="AD715" s="33" t="s">
        <v>706</v>
      </c>
    </row>
    <row r="716" spans="1:30" x14ac:dyDescent="0.3">
      <c r="A716" s="34"/>
      <c r="B716" s="35"/>
      <c r="C716" s="25" t="s">
        <v>630</v>
      </c>
      <c r="D716" s="25" t="s">
        <v>66</v>
      </c>
      <c r="E716" s="25" t="s">
        <v>631</v>
      </c>
      <c r="F716" s="25" t="s">
        <v>632</v>
      </c>
      <c r="G716" s="25" t="s">
        <v>633</v>
      </c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6"/>
    </row>
    <row r="717" spans="1:30" x14ac:dyDescent="0.3">
      <c r="A717" s="34"/>
      <c r="B717" s="35"/>
      <c r="C717" s="25" t="s">
        <v>634</v>
      </c>
      <c r="D717" s="25" t="s">
        <v>199</v>
      </c>
      <c r="E717" s="25" t="s">
        <v>641</v>
      </c>
      <c r="F717" s="25" t="s">
        <v>632</v>
      </c>
      <c r="G717" s="25" t="s">
        <v>633</v>
      </c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6"/>
    </row>
    <row r="718" spans="1:30" x14ac:dyDescent="0.3">
      <c r="A718" s="34"/>
      <c r="B718" s="35"/>
      <c r="C718" s="25" t="s">
        <v>640</v>
      </c>
      <c r="D718" s="25" t="s">
        <v>141</v>
      </c>
      <c r="E718" s="25" t="s">
        <v>643</v>
      </c>
      <c r="F718" s="25" t="s">
        <v>689</v>
      </c>
      <c r="G718" s="25" t="s">
        <v>633</v>
      </c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6"/>
    </row>
    <row r="719" spans="1:30" x14ac:dyDescent="0.3">
      <c r="A719" s="34"/>
      <c r="B719" s="37"/>
      <c r="C719" s="25" t="s">
        <v>642</v>
      </c>
      <c r="D719" s="25" t="s">
        <v>167</v>
      </c>
      <c r="E719" s="25" t="s">
        <v>720</v>
      </c>
      <c r="F719" s="25" t="s">
        <v>869</v>
      </c>
      <c r="G719" s="25" t="s">
        <v>633</v>
      </c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6"/>
    </row>
    <row r="720" spans="1:30" x14ac:dyDescent="0.3">
      <c r="A720" s="34"/>
      <c r="B720" s="25" t="s">
        <v>906</v>
      </c>
      <c r="C720" s="25" t="s">
        <v>630</v>
      </c>
      <c r="D720" s="25" t="s">
        <v>246</v>
      </c>
      <c r="E720" s="25" t="s">
        <v>621</v>
      </c>
      <c r="F720" s="25" t="s">
        <v>653</v>
      </c>
      <c r="G720" s="25" t="s">
        <v>650</v>
      </c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6"/>
    </row>
    <row r="721" spans="1:30" x14ac:dyDescent="0.3">
      <c r="A721" s="34"/>
      <c r="B721" s="25" t="s">
        <v>949</v>
      </c>
      <c r="C721" s="25" t="s">
        <v>634</v>
      </c>
      <c r="D721" s="25" t="s">
        <v>66</v>
      </c>
      <c r="E721" s="25" t="s">
        <v>631</v>
      </c>
      <c r="F721" s="25" t="s">
        <v>632</v>
      </c>
      <c r="G721" s="25" t="s">
        <v>650</v>
      </c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6"/>
    </row>
    <row r="722" spans="1:30" x14ac:dyDescent="0.3">
      <c r="A722" s="34"/>
      <c r="B722" s="25" t="s">
        <v>872</v>
      </c>
      <c r="C722" s="25" t="s">
        <v>630</v>
      </c>
      <c r="D722" s="25" t="s">
        <v>199</v>
      </c>
      <c r="E722" s="25" t="s">
        <v>641</v>
      </c>
      <c r="F722" s="25" t="s">
        <v>632</v>
      </c>
      <c r="G722" s="25" t="s">
        <v>650</v>
      </c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6"/>
    </row>
    <row r="723" spans="1:30" ht="15" thickBot="1" x14ac:dyDescent="0.35">
      <c r="A723" s="38"/>
      <c r="B723" s="39" t="s">
        <v>974</v>
      </c>
      <c r="C723" s="39" t="s">
        <v>637</v>
      </c>
      <c r="D723" s="39" t="s">
        <v>141</v>
      </c>
      <c r="E723" s="39" t="s">
        <v>643</v>
      </c>
      <c r="F723" s="39" t="s">
        <v>689</v>
      </c>
      <c r="G723" s="39" t="s">
        <v>650</v>
      </c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1"/>
    </row>
    <row r="724" spans="1:30" x14ac:dyDescent="0.3">
      <c r="A724" s="30" t="s">
        <v>240</v>
      </c>
      <c r="B724" s="31" t="s">
        <v>1029</v>
      </c>
      <c r="C724" s="32" t="s">
        <v>620</v>
      </c>
      <c r="D724" s="32" t="s">
        <v>241</v>
      </c>
      <c r="E724" s="32" t="s">
        <v>621</v>
      </c>
      <c r="F724" s="32"/>
      <c r="G724" s="32" t="s">
        <v>622</v>
      </c>
      <c r="H724" s="31" t="s">
        <v>702</v>
      </c>
      <c r="I724" s="31">
        <v>35</v>
      </c>
      <c r="J724" s="31" t="s">
        <v>626</v>
      </c>
      <c r="K724" s="31" t="s">
        <v>105</v>
      </c>
      <c r="L724" s="31" t="s">
        <v>624</v>
      </c>
      <c r="M724" s="31" t="s">
        <v>624</v>
      </c>
      <c r="N724" s="31" t="s">
        <v>624</v>
      </c>
      <c r="O724" s="31" t="s">
        <v>624</v>
      </c>
      <c r="P724" s="31" t="s">
        <v>624</v>
      </c>
      <c r="Q724" s="31" t="s">
        <v>624</v>
      </c>
      <c r="R724" s="31" t="s">
        <v>625</v>
      </c>
      <c r="S724" s="31" t="s">
        <v>625</v>
      </c>
      <c r="T724" s="31" t="s">
        <v>625</v>
      </c>
      <c r="U724" s="31" t="s">
        <v>625</v>
      </c>
      <c r="V724" s="31" t="s">
        <v>626</v>
      </c>
      <c r="W724" s="31" t="s">
        <v>625</v>
      </c>
      <c r="X724" s="31" t="s">
        <v>625</v>
      </c>
      <c r="Y724" s="31" t="s">
        <v>625</v>
      </c>
      <c r="Z724" s="31" t="s">
        <v>626</v>
      </c>
      <c r="AA724" s="31" t="s">
        <v>625</v>
      </c>
      <c r="AB724" s="31" t="s">
        <v>627</v>
      </c>
      <c r="AC724" s="31" t="s">
        <v>628</v>
      </c>
      <c r="AD724" s="33" t="s">
        <v>706</v>
      </c>
    </row>
    <row r="725" spans="1:30" x14ac:dyDescent="0.3">
      <c r="A725" s="34"/>
      <c r="B725" s="35"/>
      <c r="C725" s="25" t="s">
        <v>630</v>
      </c>
      <c r="D725" s="25" t="s">
        <v>55</v>
      </c>
      <c r="E725" s="25" t="s">
        <v>631</v>
      </c>
      <c r="F725" s="25" t="s">
        <v>632</v>
      </c>
      <c r="G725" s="25" t="s">
        <v>633</v>
      </c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6"/>
    </row>
    <row r="726" spans="1:30" x14ac:dyDescent="0.3">
      <c r="A726" s="34"/>
      <c r="B726" s="37"/>
      <c r="C726" s="25" t="s">
        <v>642</v>
      </c>
      <c r="D726" s="25" t="s">
        <v>149</v>
      </c>
      <c r="E726" s="25" t="s">
        <v>643</v>
      </c>
      <c r="F726" s="25" t="s">
        <v>692</v>
      </c>
      <c r="G726" s="25" t="s">
        <v>633</v>
      </c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6"/>
    </row>
    <row r="727" spans="1:30" x14ac:dyDescent="0.3">
      <c r="A727" s="34"/>
      <c r="B727" s="25" t="s">
        <v>912</v>
      </c>
      <c r="C727" s="25" t="s">
        <v>630</v>
      </c>
      <c r="D727" s="25" t="s">
        <v>242</v>
      </c>
      <c r="E727" s="25" t="s">
        <v>621</v>
      </c>
      <c r="F727" s="25" t="s">
        <v>653</v>
      </c>
      <c r="G727" s="25" t="s">
        <v>650</v>
      </c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6"/>
    </row>
    <row r="728" spans="1:30" x14ac:dyDescent="0.3">
      <c r="A728" s="34"/>
      <c r="B728" s="25" t="s">
        <v>654</v>
      </c>
      <c r="C728" s="25" t="s">
        <v>634</v>
      </c>
      <c r="D728" s="25" t="s">
        <v>55</v>
      </c>
      <c r="E728" s="25" t="s">
        <v>631</v>
      </c>
      <c r="F728" s="25" t="s">
        <v>632</v>
      </c>
      <c r="G728" s="25" t="s">
        <v>650</v>
      </c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6"/>
    </row>
    <row r="729" spans="1:30" x14ac:dyDescent="0.3">
      <c r="A729" s="34"/>
      <c r="B729" s="25" t="s">
        <v>968</v>
      </c>
      <c r="C729" s="25" t="s">
        <v>640</v>
      </c>
      <c r="D729" s="25" t="s">
        <v>149</v>
      </c>
      <c r="E729" s="25" t="s">
        <v>643</v>
      </c>
      <c r="F729" s="25" t="s">
        <v>692</v>
      </c>
      <c r="G729" s="25" t="s">
        <v>650</v>
      </c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6"/>
    </row>
    <row r="730" spans="1:30" ht="15" thickBot="1" x14ac:dyDescent="0.35">
      <c r="A730" s="38"/>
      <c r="B730" s="39" t="s">
        <v>1030</v>
      </c>
      <c r="C730" s="39" t="s">
        <v>652</v>
      </c>
      <c r="D730" s="39" t="s">
        <v>153</v>
      </c>
      <c r="E730" s="39" t="s">
        <v>760</v>
      </c>
      <c r="F730" s="39" t="s">
        <v>660</v>
      </c>
      <c r="G730" s="39" t="s">
        <v>650</v>
      </c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1"/>
    </row>
    <row r="731" spans="1:30" x14ac:dyDescent="0.3">
      <c r="A731" s="30" t="s">
        <v>235</v>
      </c>
      <c r="B731" s="31" t="s">
        <v>1031</v>
      </c>
      <c r="C731" s="32" t="s">
        <v>620</v>
      </c>
      <c r="D731" s="32" t="s">
        <v>236</v>
      </c>
      <c r="E731" s="32" t="s">
        <v>621</v>
      </c>
      <c r="F731" s="32"/>
      <c r="G731" s="32" t="s">
        <v>622</v>
      </c>
      <c r="H731" s="31" t="s">
        <v>702</v>
      </c>
      <c r="I731" s="31">
        <v>34</v>
      </c>
      <c r="J731" s="31" t="s">
        <v>626</v>
      </c>
      <c r="K731" s="31" t="s">
        <v>105</v>
      </c>
      <c r="L731" s="31" t="s">
        <v>624</v>
      </c>
      <c r="M731" s="31" t="s">
        <v>624</v>
      </c>
      <c r="N731" s="31" t="s">
        <v>624</v>
      </c>
      <c r="O731" s="31" t="s">
        <v>624</v>
      </c>
      <c r="P731" s="31" t="s">
        <v>624</v>
      </c>
      <c r="Q731" s="31" t="s">
        <v>624</v>
      </c>
      <c r="R731" s="31" t="s">
        <v>625</v>
      </c>
      <c r="S731" s="31" t="s">
        <v>625</v>
      </c>
      <c r="T731" s="31" t="s">
        <v>625</v>
      </c>
      <c r="U731" s="31" t="s">
        <v>625</v>
      </c>
      <c r="V731" s="31" t="s">
        <v>626</v>
      </c>
      <c r="W731" s="31" t="s">
        <v>625</v>
      </c>
      <c r="X731" s="31" t="s">
        <v>625</v>
      </c>
      <c r="Y731" s="31" t="s">
        <v>625</v>
      </c>
      <c r="Z731" s="31" t="s">
        <v>626</v>
      </c>
      <c r="AA731" s="31" t="s">
        <v>625</v>
      </c>
      <c r="AB731" s="31" t="s">
        <v>627</v>
      </c>
      <c r="AC731" s="31" t="s">
        <v>628</v>
      </c>
      <c r="AD731" s="33" t="s">
        <v>706</v>
      </c>
    </row>
    <row r="732" spans="1:30" x14ac:dyDescent="0.3">
      <c r="A732" s="34"/>
      <c r="B732" s="35"/>
      <c r="C732" s="25" t="s">
        <v>630</v>
      </c>
      <c r="D732" s="25" t="s">
        <v>133</v>
      </c>
      <c r="E732" s="25" t="s">
        <v>631</v>
      </c>
      <c r="F732" s="25" t="s">
        <v>632</v>
      </c>
      <c r="G732" s="25" t="s">
        <v>633</v>
      </c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6"/>
    </row>
    <row r="733" spans="1:30" x14ac:dyDescent="0.3">
      <c r="A733" s="34"/>
      <c r="B733" s="35"/>
      <c r="C733" s="25" t="s">
        <v>634</v>
      </c>
      <c r="D733" s="25" t="s">
        <v>119</v>
      </c>
      <c r="E733" s="25" t="s">
        <v>760</v>
      </c>
      <c r="F733" s="25" t="s">
        <v>662</v>
      </c>
      <c r="G733" s="25" t="s">
        <v>633</v>
      </c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6"/>
    </row>
    <row r="734" spans="1:30" x14ac:dyDescent="0.3">
      <c r="A734" s="34"/>
      <c r="B734" s="37"/>
      <c r="C734" s="25" t="s">
        <v>642</v>
      </c>
      <c r="D734" s="25" t="s">
        <v>198</v>
      </c>
      <c r="E734" s="25" t="s">
        <v>643</v>
      </c>
      <c r="F734" s="25" t="s">
        <v>753</v>
      </c>
      <c r="G734" s="25" t="s">
        <v>633</v>
      </c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6"/>
    </row>
    <row r="735" spans="1:30" x14ac:dyDescent="0.3">
      <c r="A735" s="34"/>
      <c r="B735" s="25" t="s">
        <v>917</v>
      </c>
      <c r="C735" s="25" t="s">
        <v>630</v>
      </c>
      <c r="D735" s="25" t="s">
        <v>237</v>
      </c>
      <c r="E735" s="25" t="s">
        <v>621</v>
      </c>
      <c r="F735" s="25" t="s">
        <v>653</v>
      </c>
      <c r="G735" s="25" t="s">
        <v>650</v>
      </c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6"/>
    </row>
    <row r="736" spans="1:30" x14ac:dyDescent="0.3">
      <c r="A736" s="34"/>
      <c r="B736" s="25" t="s">
        <v>1032</v>
      </c>
      <c r="C736" s="25" t="s">
        <v>652</v>
      </c>
      <c r="D736" s="25" t="s">
        <v>133</v>
      </c>
      <c r="E736" s="25" t="s">
        <v>631</v>
      </c>
      <c r="F736" s="25" t="s">
        <v>632</v>
      </c>
      <c r="G736" s="25" t="s">
        <v>650</v>
      </c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6"/>
    </row>
    <row r="737" spans="1:30" x14ac:dyDescent="0.3">
      <c r="A737" s="34"/>
      <c r="B737" s="25" t="s">
        <v>952</v>
      </c>
      <c r="C737" s="25" t="s">
        <v>652</v>
      </c>
      <c r="D737" s="25" t="s">
        <v>238</v>
      </c>
      <c r="E737" s="25" t="s">
        <v>712</v>
      </c>
      <c r="F737" s="25" t="s">
        <v>900</v>
      </c>
      <c r="G737" s="25" t="s">
        <v>650</v>
      </c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6"/>
    </row>
    <row r="738" spans="1:30" ht="15" thickBot="1" x14ac:dyDescent="0.35">
      <c r="A738" s="38"/>
      <c r="B738" s="39" t="s">
        <v>855</v>
      </c>
      <c r="C738" s="39" t="s">
        <v>640</v>
      </c>
      <c r="D738" s="39" t="s">
        <v>198</v>
      </c>
      <c r="E738" s="39" t="s">
        <v>643</v>
      </c>
      <c r="F738" s="39" t="s">
        <v>753</v>
      </c>
      <c r="G738" s="39" t="s">
        <v>650</v>
      </c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1"/>
    </row>
    <row r="739" spans="1:30" x14ac:dyDescent="0.3">
      <c r="A739" s="30" t="s">
        <v>171</v>
      </c>
      <c r="B739" s="31" t="s">
        <v>1033</v>
      </c>
      <c r="C739" s="32" t="s">
        <v>620</v>
      </c>
      <c r="D739" s="32" t="s">
        <v>172</v>
      </c>
      <c r="E739" s="32" t="s">
        <v>621</v>
      </c>
      <c r="F739" s="32"/>
      <c r="G739" s="32" t="s">
        <v>622</v>
      </c>
      <c r="H739" s="31" t="s">
        <v>702</v>
      </c>
      <c r="I739" s="31">
        <v>25</v>
      </c>
      <c r="J739" s="31" t="s">
        <v>626</v>
      </c>
      <c r="K739" s="31" t="s">
        <v>105</v>
      </c>
      <c r="L739" s="31" t="s">
        <v>624</v>
      </c>
      <c r="M739" s="31" t="s">
        <v>624</v>
      </c>
      <c r="N739" s="31" t="s">
        <v>624</v>
      </c>
      <c r="O739" s="31" t="s">
        <v>624</v>
      </c>
      <c r="P739" s="31" t="s">
        <v>624</v>
      </c>
      <c r="Q739" s="31" t="s">
        <v>624</v>
      </c>
      <c r="R739" s="31" t="s">
        <v>625</v>
      </c>
      <c r="S739" s="31" t="s">
        <v>625</v>
      </c>
      <c r="T739" s="31" t="s">
        <v>625</v>
      </c>
      <c r="U739" s="31" t="s">
        <v>625</v>
      </c>
      <c r="V739" s="31" t="s">
        <v>626</v>
      </c>
      <c r="W739" s="31" t="s">
        <v>625</v>
      </c>
      <c r="X739" s="31" t="s">
        <v>625</v>
      </c>
      <c r="Y739" s="31" t="s">
        <v>625</v>
      </c>
      <c r="Z739" s="31" t="s">
        <v>626</v>
      </c>
      <c r="AA739" s="31" t="s">
        <v>625</v>
      </c>
      <c r="AB739" s="31" t="s">
        <v>627</v>
      </c>
      <c r="AC739" s="31" t="s">
        <v>628</v>
      </c>
      <c r="AD739" s="33" t="s">
        <v>706</v>
      </c>
    </row>
    <row r="740" spans="1:30" x14ac:dyDescent="0.3">
      <c r="A740" s="34"/>
      <c r="B740" s="35"/>
      <c r="C740" s="25" t="s">
        <v>630</v>
      </c>
      <c r="D740" s="25" t="s">
        <v>89</v>
      </c>
      <c r="E740" s="25" t="s">
        <v>631</v>
      </c>
      <c r="F740" s="25" t="s">
        <v>632</v>
      </c>
      <c r="G740" s="25" t="s">
        <v>633</v>
      </c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6"/>
    </row>
    <row r="741" spans="1:30" x14ac:dyDescent="0.3">
      <c r="A741" s="34"/>
      <c r="B741" s="35"/>
      <c r="C741" s="25" t="s">
        <v>634</v>
      </c>
      <c r="D741" s="25" t="s">
        <v>128</v>
      </c>
      <c r="E741" s="25" t="s">
        <v>638</v>
      </c>
      <c r="F741" s="25" t="s">
        <v>639</v>
      </c>
      <c r="G741" s="25" t="s">
        <v>633</v>
      </c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6"/>
    </row>
    <row r="742" spans="1:30" x14ac:dyDescent="0.3">
      <c r="A742" s="34"/>
      <c r="B742" s="37"/>
      <c r="C742" s="25" t="s">
        <v>637</v>
      </c>
      <c r="D742" s="25" t="s">
        <v>173</v>
      </c>
      <c r="E742" s="25" t="s">
        <v>837</v>
      </c>
      <c r="F742" s="25" t="s">
        <v>713</v>
      </c>
      <c r="G742" s="25" t="s">
        <v>633</v>
      </c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6"/>
    </row>
    <row r="743" spans="1:30" x14ac:dyDescent="0.3">
      <c r="A743" s="34"/>
      <c r="B743" s="25" t="s">
        <v>626</v>
      </c>
      <c r="C743" s="25" t="s">
        <v>626</v>
      </c>
      <c r="D743" s="25" t="s">
        <v>174</v>
      </c>
      <c r="E743" s="25" t="s">
        <v>666</v>
      </c>
      <c r="F743" s="25" t="s">
        <v>667</v>
      </c>
      <c r="G743" s="25" t="s">
        <v>650</v>
      </c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6"/>
    </row>
    <row r="744" spans="1:30" x14ac:dyDescent="0.3">
      <c r="A744" s="34"/>
      <c r="B744" s="25" t="s">
        <v>922</v>
      </c>
      <c r="C744" s="25" t="s">
        <v>630</v>
      </c>
      <c r="D744" s="25" t="s">
        <v>175</v>
      </c>
      <c r="E744" s="25" t="s">
        <v>621</v>
      </c>
      <c r="F744" s="25" t="s">
        <v>653</v>
      </c>
      <c r="G744" s="25" t="s">
        <v>650</v>
      </c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6"/>
    </row>
    <row r="745" spans="1:30" x14ac:dyDescent="0.3">
      <c r="A745" s="34"/>
      <c r="B745" s="25" t="s">
        <v>1034</v>
      </c>
      <c r="C745" s="25" t="s">
        <v>652</v>
      </c>
      <c r="D745" s="25" t="s">
        <v>89</v>
      </c>
      <c r="E745" s="25" t="s">
        <v>631</v>
      </c>
      <c r="F745" s="25" t="s">
        <v>632</v>
      </c>
      <c r="G745" s="25" t="s">
        <v>650</v>
      </c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6"/>
    </row>
    <row r="746" spans="1:30" x14ac:dyDescent="0.3">
      <c r="A746" s="34"/>
      <c r="B746" s="25" t="s">
        <v>767</v>
      </c>
      <c r="C746" s="25" t="s">
        <v>645</v>
      </c>
      <c r="D746" s="25" t="s">
        <v>128</v>
      </c>
      <c r="E746" s="25" t="s">
        <v>638</v>
      </c>
      <c r="F746" s="25" t="s">
        <v>639</v>
      </c>
      <c r="G746" s="25" t="s">
        <v>650</v>
      </c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6"/>
    </row>
    <row r="747" spans="1:30" x14ac:dyDescent="0.3">
      <c r="A747" s="34"/>
      <c r="B747" s="25" t="s">
        <v>958</v>
      </c>
      <c r="C747" s="25" t="s">
        <v>634</v>
      </c>
      <c r="D747" s="25" t="s">
        <v>176</v>
      </c>
      <c r="E747" s="25" t="s">
        <v>739</v>
      </c>
      <c r="F747" s="25" t="s">
        <v>686</v>
      </c>
      <c r="G747" s="25" t="s">
        <v>650</v>
      </c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6"/>
    </row>
    <row r="748" spans="1:30" ht="15" thickBot="1" x14ac:dyDescent="0.35">
      <c r="A748" s="38"/>
      <c r="B748" s="39" t="s">
        <v>973</v>
      </c>
      <c r="C748" s="39" t="s">
        <v>630</v>
      </c>
      <c r="D748" s="39" t="s">
        <v>173</v>
      </c>
      <c r="E748" s="39" t="s">
        <v>837</v>
      </c>
      <c r="F748" s="39" t="s">
        <v>713</v>
      </c>
      <c r="G748" s="39" t="s">
        <v>650</v>
      </c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1"/>
    </row>
    <row r="749" spans="1:30" x14ac:dyDescent="0.3">
      <c r="A749" s="30" t="s">
        <v>163</v>
      </c>
      <c r="B749" s="31" t="s">
        <v>1035</v>
      </c>
      <c r="C749" s="32" t="s">
        <v>620</v>
      </c>
      <c r="D749" s="32" t="s">
        <v>164</v>
      </c>
      <c r="E749" s="32" t="s">
        <v>621</v>
      </c>
      <c r="F749" s="32"/>
      <c r="G749" s="32" t="s">
        <v>622</v>
      </c>
      <c r="H749" s="31" t="s">
        <v>702</v>
      </c>
      <c r="I749" s="31">
        <v>24</v>
      </c>
      <c r="J749" s="31" t="s">
        <v>626</v>
      </c>
      <c r="K749" s="31" t="s">
        <v>105</v>
      </c>
      <c r="L749" s="31" t="s">
        <v>624</v>
      </c>
      <c r="M749" s="31" t="s">
        <v>624</v>
      </c>
      <c r="N749" s="31" t="s">
        <v>624</v>
      </c>
      <c r="O749" s="31" t="s">
        <v>624</v>
      </c>
      <c r="P749" s="31" t="s">
        <v>624</v>
      </c>
      <c r="Q749" s="31" t="s">
        <v>624</v>
      </c>
      <c r="R749" s="31" t="s">
        <v>625</v>
      </c>
      <c r="S749" s="31" t="s">
        <v>625</v>
      </c>
      <c r="T749" s="31" t="s">
        <v>625</v>
      </c>
      <c r="U749" s="31" t="s">
        <v>625</v>
      </c>
      <c r="V749" s="31" t="s">
        <v>626</v>
      </c>
      <c r="W749" s="31" t="s">
        <v>625</v>
      </c>
      <c r="X749" s="31" t="s">
        <v>625</v>
      </c>
      <c r="Y749" s="31" t="s">
        <v>625</v>
      </c>
      <c r="Z749" s="31" t="s">
        <v>626</v>
      </c>
      <c r="AA749" s="31" t="s">
        <v>625</v>
      </c>
      <c r="AB749" s="31" t="s">
        <v>627</v>
      </c>
      <c r="AC749" s="31" t="s">
        <v>628</v>
      </c>
      <c r="AD749" s="33" t="s">
        <v>706</v>
      </c>
    </row>
    <row r="750" spans="1:30" x14ac:dyDescent="0.3">
      <c r="A750" s="34"/>
      <c r="B750" s="35"/>
      <c r="C750" s="25" t="s">
        <v>630</v>
      </c>
      <c r="D750" s="25" t="s">
        <v>78</v>
      </c>
      <c r="E750" s="25" t="s">
        <v>631</v>
      </c>
      <c r="F750" s="25" t="s">
        <v>632</v>
      </c>
      <c r="G750" s="25" t="s">
        <v>633</v>
      </c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6"/>
    </row>
    <row r="751" spans="1:30" x14ac:dyDescent="0.3">
      <c r="A751" s="34"/>
      <c r="B751" s="35"/>
      <c r="C751" s="25" t="s">
        <v>634</v>
      </c>
      <c r="D751" s="25" t="s">
        <v>165</v>
      </c>
      <c r="E751" s="25" t="s">
        <v>739</v>
      </c>
      <c r="F751" s="25" t="s">
        <v>693</v>
      </c>
      <c r="G751" s="25" t="s">
        <v>633</v>
      </c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6"/>
    </row>
    <row r="752" spans="1:30" x14ac:dyDescent="0.3">
      <c r="A752" s="34"/>
      <c r="B752" s="35"/>
      <c r="C752" s="25" t="s">
        <v>637</v>
      </c>
      <c r="D752" s="25" t="s">
        <v>166</v>
      </c>
      <c r="E752" s="25" t="s">
        <v>837</v>
      </c>
      <c r="F752" s="25" t="s">
        <v>943</v>
      </c>
      <c r="G752" s="25" t="s">
        <v>633</v>
      </c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6"/>
    </row>
    <row r="753" spans="1:30" x14ac:dyDescent="0.3">
      <c r="A753" s="34"/>
      <c r="B753" s="35"/>
      <c r="C753" s="25" t="s">
        <v>642</v>
      </c>
      <c r="D753" s="126" t="s">
        <v>1293</v>
      </c>
      <c r="E753" s="25" t="s">
        <v>707</v>
      </c>
      <c r="F753" s="25" t="s">
        <v>784</v>
      </c>
      <c r="G753" s="25" t="s">
        <v>633</v>
      </c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6"/>
    </row>
    <row r="754" spans="1:30" x14ac:dyDescent="0.3">
      <c r="A754" s="34"/>
      <c r="B754" s="37"/>
      <c r="C754" s="25" t="s">
        <v>645</v>
      </c>
      <c r="D754" s="25" t="s">
        <v>167</v>
      </c>
      <c r="E754" s="25" t="s">
        <v>720</v>
      </c>
      <c r="F754" s="25" t="s">
        <v>869</v>
      </c>
      <c r="G754" s="25" t="s">
        <v>633</v>
      </c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6"/>
    </row>
    <row r="755" spans="1:30" x14ac:dyDescent="0.3">
      <c r="A755" s="34"/>
      <c r="B755" s="25" t="s">
        <v>926</v>
      </c>
      <c r="C755" s="25" t="s">
        <v>634</v>
      </c>
      <c r="D755" s="25" t="s">
        <v>168</v>
      </c>
      <c r="E755" s="25" t="s">
        <v>621</v>
      </c>
      <c r="F755" s="25" t="s">
        <v>653</v>
      </c>
      <c r="G755" s="25" t="s">
        <v>650</v>
      </c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6"/>
    </row>
    <row r="756" spans="1:30" x14ac:dyDescent="0.3">
      <c r="A756" s="34"/>
      <c r="B756" s="25" t="s">
        <v>1036</v>
      </c>
      <c r="C756" s="25" t="s">
        <v>652</v>
      </c>
      <c r="D756" s="25" t="s">
        <v>78</v>
      </c>
      <c r="E756" s="25" t="s">
        <v>631</v>
      </c>
      <c r="F756" s="25" t="s">
        <v>632</v>
      </c>
      <c r="G756" s="25" t="s">
        <v>650</v>
      </c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6"/>
    </row>
    <row r="757" spans="1:30" x14ac:dyDescent="0.3">
      <c r="A757" s="34"/>
      <c r="B757" s="25" t="s">
        <v>967</v>
      </c>
      <c r="C757" s="25" t="s">
        <v>630</v>
      </c>
      <c r="D757" s="25" t="s">
        <v>166</v>
      </c>
      <c r="E757" s="25" t="s">
        <v>837</v>
      </c>
      <c r="F757" s="25" t="s">
        <v>943</v>
      </c>
      <c r="G757" s="25" t="s">
        <v>650</v>
      </c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6"/>
    </row>
    <row r="758" spans="1:30" ht="15" thickBot="1" x14ac:dyDescent="0.35">
      <c r="A758" s="38"/>
      <c r="B758" s="39" t="s">
        <v>963</v>
      </c>
      <c r="C758" s="39" t="s">
        <v>634</v>
      </c>
      <c r="D758" s="39" t="s">
        <v>165</v>
      </c>
      <c r="E758" s="39" t="s">
        <v>739</v>
      </c>
      <c r="F758" s="39" t="s">
        <v>693</v>
      </c>
      <c r="G758" s="39" t="s">
        <v>650</v>
      </c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1"/>
    </row>
    <row r="759" spans="1:30" x14ac:dyDescent="0.3">
      <c r="A759" s="30" t="s">
        <v>145</v>
      </c>
      <c r="B759" s="31" t="s">
        <v>1037</v>
      </c>
      <c r="C759" s="32" t="s">
        <v>620</v>
      </c>
      <c r="D759" s="32" t="s">
        <v>146</v>
      </c>
      <c r="E759" s="32" t="s">
        <v>621</v>
      </c>
      <c r="F759" s="32"/>
      <c r="G759" s="32" t="s">
        <v>622</v>
      </c>
      <c r="H759" s="31" t="s">
        <v>772</v>
      </c>
      <c r="I759" s="31">
        <v>22</v>
      </c>
      <c r="J759" s="31">
        <v>11</v>
      </c>
      <c r="K759" s="31" t="s">
        <v>105</v>
      </c>
      <c r="L759" s="31" t="s">
        <v>624</v>
      </c>
      <c r="M759" s="31" t="s">
        <v>624</v>
      </c>
      <c r="N759" s="31" t="s">
        <v>624</v>
      </c>
      <c r="O759" s="31" t="s">
        <v>624</v>
      </c>
      <c r="P759" s="31" t="s">
        <v>624</v>
      </c>
      <c r="Q759" s="31" t="s">
        <v>624</v>
      </c>
      <c r="R759" s="31" t="s">
        <v>625</v>
      </c>
      <c r="S759" s="31" t="s">
        <v>625</v>
      </c>
      <c r="T759" s="31" t="s">
        <v>625</v>
      </c>
      <c r="U759" s="31" t="s">
        <v>625</v>
      </c>
      <c r="V759" s="31" t="s">
        <v>625</v>
      </c>
      <c r="W759" s="31" t="s">
        <v>625</v>
      </c>
      <c r="X759" s="31" t="s">
        <v>625</v>
      </c>
      <c r="Y759" s="31" t="s">
        <v>625</v>
      </c>
      <c r="Z759" s="31" t="s">
        <v>626</v>
      </c>
      <c r="AA759" s="31" t="s">
        <v>625</v>
      </c>
      <c r="AB759" s="31" t="s">
        <v>627</v>
      </c>
      <c r="AC759" s="31" t="s">
        <v>628</v>
      </c>
      <c r="AD759" s="33" t="s">
        <v>775</v>
      </c>
    </row>
    <row r="760" spans="1:30" x14ac:dyDescent="0.3">
      <c r="A760" s="34"/>
      <c r="B760" s="35"/>
      <c r="C760" s="25" t="s">
        <v>652</v>
      </c>
      <c r="D760" s="25" t="s">
        <v>118</v>
      </c>
      <c r="E760" s="25" t="s">
        <v>638</v>
      </c>
      <c r="F760" s="25" t="s">
        <v>639</v>
      </c>
      <c r="G760" s="25" t="s">
        <v>633</v>
      </c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6"/>
    </row>
    <row r="761" spans="1:30" x14ac:dyDescent="0.3">
      <c r="A761" s="34"/>
      <c r="B761" s="35"/>
      <c r="C761" s="25" t="s">
        <v>630</v>
      </c>
      <c r="D761" s="25" t="s">
        <v>147</v>
      </c>
      <c r="E761" s="25" t="s">
        <v>631</v>
      </c>
      <c r="F761" s="25" t="s">
        <v>632</v>
      </c>
      <c r="G761" s="25" t="s">
        <v>633</v>
      </c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6"/>
    </row>
    <row r="762" spans="1:30" x14ac:dyDescent="0.3">
      <c r="A762" s="34"/>
      <c r="B762" s="35"/>
      <c r="C762" s="25" t="s">
        <v>634</v>
      </c>
      <c r="D762" s="25" t="s">
        <v>148</v>
      </c>
      <c r="E762" s="25" t="s">
        <v>641</v>
      </c>
      <c r="F762" s="25" t="s">
        <v>632</v>
      </c>
      <c r="G762" s="25" t="s">
        <v>633</v>
      </c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6"/>
    </row>
    <row r="763" spans="1:30" x14ac:dyDescent="0.3">
      <c r="A763" s="34"/>
      <c r="B763" s="35"/>
      <c r="C763" s="25" t="s">
        <v>637</v>
      </c>
      <c r="D763" s="25" t="s">
        <v>149</v>
      </c>
      <c r="E763" s="25" t="s">
        <v>643</v>
      </c>
      <c r="F763" s="25" t="s">
        <v>692</v>
      </c>
      <c r="G763" s="25" t="s">
        <v>633</v>
      </c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6"/>
    </row>
    <row r="764" spans="1:30" x14ac:dyDescent="0.3">
      <c r="A764" s="34"/>
      <c r="B764" s="37"/>
      <c r="C764" s="25" t="s">
        <v>645</v>
      </c>
      <c r="D764" s="25" t="s">
        <v>150</v>
      </c>
      <c r="E764" s="25" t="s">
        <v>638</v>
      </c>
      <c r="F764" s="25" t="s">
        <v>639</v>
      </c>
      <c r="G764" s="25" t="s">
        <v>633</v>
      </c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6"/>
    </row>
    <row r="765" spans="1:30" x14ac:dyDescent="0.3">
      <c r="A765" s="34"/>
      <c r="B765" s="25" t="s">
        <v>626</v>
      </c>
      <c r="C765" s="25" t="s">
        <v>626</v>
      </c>
      <c r="D765" s="25" t="s">
        <v>151</v>
      </c>
      <c r="E765" s="25" t="s">
        <v>707</v>
      </c>
      <c r="F765" s="25" t="s">
        <v>936</v>
      </c>
      <c r="G765" s="25" t="s">
        <v>650</v>
      </c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6"/>
    </row>
    <row r="766" spans="1:30" x14ac:dyDescent="0.3">
      <c r="A766" s="34"/>
      <c r="B766" s="25" t="s">
        <v>931</v>
      </c>
      <c r="C766" s="25" t="s">
        <v>630</v>
      </c>
      <c r="D766" s="25" t="s">
        <v>152</v>
      </c>
      <c r="E766" s="25" t="s">
        <v>621</v>
      </c>
      <c r="F766" s="25" t="s">
        <v>653</v>
      </c>
      <c r="G766" s="25" t="s">
        <v>650</v>
      </c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6"/>
    </row>
    <row r="767" spans="1:30" x14ac:dyDescent="0.3">
      <c r="A767" s="34"/>
      <c r="B767" s="25" t="s">
        <v>907</v>
      </c>
      <c r="C767" s="25" t="s">
        <v>630</v>
      </c>
      <c r="D767" s="25" t="s">
        <v>147</v>
      </c>
      <c r="E767" s="25" t="s">
        <v>631</v>
      </c>
      <c r="F767" s="25" t="s">
        <v>632</v>
      </c>
      <c r="G767" s="25" t="s">
        <v>650</v>
      </c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6"/>
    </row>
    <row r="768" spans="1:30" x14ac:dyDescent="0.3">
      <c r="A768" s="34"/>
      <c r="B768" s="25" t="s">
        <v>1038</v>
      </c>
      <c r="C768" s="25" t="s">
        <v>642</v>
      </c>
      <c r="D768" s="25" t="s">
        <v>148</v>
      </c>
      <c r="E768" s="25" t="s">
        <v>641</v>
      </c>
      <c r="F768" s="25" t="s">
        <v>632</v>
      </c>
      <c r="G768" s="25" t="s">
        <v>650</v>
      </c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6"/>
    </row>
    <row r="769" spans="1:30" x14ac:dyDescent="0.3">
      <c r="A769" s="34"/>
      <c r="B769" s="25" t="s">
        <v>715</v>
      </c>
      <c r="C769" s="25" t="s">
        <v>645</v>
      </c>
      <c r="D769" s="25" t="s">
        <v>118</v>
      </c>
      <c r="E769" s="25" t="s">
        <v>638</v>
      </c>
      <c r="F769" s="25" t="s">
        <v>639</v>
      </c>
      <c r="G769" s="25" t="s">
        <v>650</v>
      </c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6"/>
    </row>
    <row r="770" spans="1:30" x14ac:dyDescent="0.3">
      <c r="A770" s="34"/>
      <c r="B770" s="25" t="s">
        <v>962</v>
      </c>
      <c r="C770" s="25" t="s">
        <v>652</v>
      </c>
      <c r="D770" s="25" t="s">
        <v>150</v>
      </c>
      <c r="E770" s="25" t="s">
        <v>638</v>
      </c>
      <c r="F770" s="25" t="s">
        <v>639</v>
      </c>
      <c r="G770" s="25" t="s">
        <v>650</v>
      </c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6"/>
    </row>
    <row r="771" spans="1:30" x14ac:dyDescent="0.3">
      <c r="A771" s="34"/>
      <c r="B771" s="25" t="s">
        <v>968</v>
      </c>
      <c r="C771" s="25" t="s">
        <v>634</v>
      </c>
      <c r="D771" s="25" t="s">
        <v>149</v>
      </c>
      <c r="E771" s="25" t="s">
        <v>643</v>
      </c>
      <c r="F771" s="25" t="s">
        <v>692</v>
      </c>
      <c r="G771" s="25" t="s">
        <v>650</v>
      </c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6"/>
    </row>
    <row r="772" spans="1:30" ht="15" thickBot="1" x14ac:dyDescent="0.35">
      <c r="A772" s="38"/>
      <c r="B772" s="39" t="s">
        <v>1030</v>
      </c>
      <c r="C772" s="39" t="s">
        <v>630</v>
      </c>
      <c r="D772" s="39" t="s">
        <v>153</v>
      </c>
      <c r="E772" s="39" t="s">
        <v>760</v>
      </c>
      <c r="F772" s="39" t="s">
        <v>660</v>
      </c>
      <c r="G772" s="39" t="s">
        <v>650</v>
      </c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1"/>
    </row>
    <row r="773" spans="1:30" x14ac:dyDescent="0.3">
      <c r="A773" s="30" t="s">
        <v>139</v>
      </c>
      <c r="B773" s="31" t="s">
        <v>1039</v>
      </c>
      <c r="C773" s="32" t="s">
        <v>620</v>
      </c>
      <c r="D773" s="32" t="s">
        <v>140</v>
      </c>
      <c r="E773" s="32" t="s">
        <v>621</v>
      </c>
      <c r="F773" s="32"/>
      <c r="G773" s="32" t="s">
        <v>622</v>
      </c>
      <c r="H773" s="31" t="s">
        <v>623</v>
      </c>
      <c r="I773" s="31">
        <v>21</v>
      </c>
      <c r="J773" s="31" t="s">
        <v>626</v>
      </c>
      <c r="K773" s="31" t="s">
        <v>105</v>
      </c>
      <c r="L773" s="31" t="s">
        <v>624</v>
      </c>
      <c r="M773" s="31" t="s">
        <v>624</v>
      </c>
      <c r="N773" s="31" t="s">
        <v>624</v>
      </c>
      <c r="O773" s="31" t="s">
        <v>624</v>
      </c>
      <c r="P773" s="31" t="s">
        <v>624</v>
      </c>
      <c r="Q773" s="31" t="s">
        <v>624</v>
      </c>
      <c r="R773" s="31" t="s">
        <v>625</v>
      </c>
      <c r="S773" s="31" t="s">
        <v>625</v>
      </c>
      <c r="T773" s="31" t="s">
        <v>625</v>
      </c>
      <c r="U773" s="31" t="s">
        <v>625</v>
      </c>
      <c r="V773" s="31" t="s">
        <v>626</v>
      </c>
      <c r="W773" s="31" t="s">
        <v>625</v>
      </c>
      <c r="X773" s="31" t="s">
        <v>625</v>
      </c>
      <c r="Y773" s="31" t="s">
        <v>626</v>
      </c>
      <c r="Z773" s="31" t="s">
        <v>626</v>
      </c>
      <c r="AA773" s="31" t="s">
        <v>625</v>
      </c>
      <c r="AB773" s="31" t="s">
        <v>627</v>
      </c>
      <c r="AC773" s="31" t="s">
        <v>628</v>
      </c>
      <c r="AD773" s="33" t="s">
        <v>629</v>
      </c>
    </row>
    <row r="774" spans="1:30" x14ac:dyDescent="0.3">
      <c r="A774" s="34"/>
      <c r="B774" s="35"/>
      <c r="C774" s="25" t="s">
        <v>630</v>
      </c>
      <c r="D774" s="25" t="s">
        <v>77</v>
      </c>
      <c r="E774" s="25" t="s">
        <v>631</v>
      </c>
      <c r="F774" s="25" t="s">
        <v>632</v>
      </c>
      <c r="G774" s="25" t="s">
        <v>633</v>
      </c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6"/>
    </row>
    <row r="775" spans="1:30" x14ac:dyDescent="0.3">
      <c r="A775" s="34"/>
      <c r="B775" s="35"/>
      <c r="C775" s="25" t="s">
        <v>637</v>
      </c>
      <c r="D775" s="25" t="s">
        <v>141</v>
      </c>
      <c r="E775" s="25" t="s">
        <v>643</v>
      </c>
      <c r="F775" s="25" t="s">
        <v>689</v>
      </c>
      <c r="G775" s="25" t="s">
        <v>633</v>
      </c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6"/>
    </row>
    <row r="776" spans="1:30" x14ac:dyDescent="0.3">
      <c r="A776" s="34"/>
      <c r="B776" s="35"/>
      <c r="C776" s="25" t="s">
        <v>640</v>
      </c>
      <c r="D776" s="25" t="s">
        <v>142</v>
      </c>
      <c r="E776" s="25" t="s">
        <v>641</v>
      </c>
      <c r="F776" s="25" t="s">
        <v>632</v>
      </c>
      <c r="G776" s="25" t="s">
        <v>633</v>
      </c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6"/>
    </row>
    <row r="777" spans="1:30" x14ac:dyDescent="0.3">
      <c r="A777" s="34"/>
      <c r="B777" s="37"/>
      <c r="C777" s="25" t="s">
        <v>642</v>
      </c>
      <c r="D777" s="25" t="s">
        <v>119</v>
      </c>
      <c r="E777" s="25" t="s">
        <v>760</v>
      </c>
      <c r="F777" s="25" t="s">
        <v>662</v>
      </c>
      <c r="G777" s="25" t="s">
        <v>633</v>
      </c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6"/>
    </row>
    <row r="778" spans="1:30" x14ac:dyDescent="0.3">
      <c r="A778" s="34"/>
      <c r="B778" s="25" t="s">
        <v>626</v>
      </c>
      <c r="C778" s="25" t="s">
        <v>626</v>
      </c>
      <c r="D778" s="25" t="s">
        <v>143</v>
      </c>
      <c r="E778" s="25" t="s">
        <v>707</v>
      </c>
      <c r="F778" s="25" t="s">
        <v>936</v>
      </c>
      <c r="G778" s="25" t="s">
        <v>650</v>
      </c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6"/>
    </row>
    <row r="779" spans="1:30" x14ac:dyDescent="0.3">
      <c r="A779" s="34"/>
      <c r="B779" s="25" t="s">
        <v>913</v>
      </c>
      <c r="C779" s="25" t="s">
        <v>634</v>
      </c>
      <c r="D779" s="25" t="s">
        <v>77</v>
      </c>
      <c r="E779" s="25" t="s">
        <v>631</v>
      </c>
      <c r="F779" s="25" t="s">
        <v>632</v>
      </c>
      <c r="G779" s="25" t="s">
        <v>650</v>
      </c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6"/>
    </row>
    <row r="780" spans="1:30" x14ac:dyDescent="0.3">
      <c r="A780" s="34"/>
      <c r="B780" s="25" t="s">
        <v>882</v>
      </c>
      <c r="C780" s="25" t="s">
        <v>645</v>
      </c>
      <c r="D780" s="25" t="s">
        <v>142</v>
      </c>
      <c r="E780" s="25" t="s">
        <v>641</v>
      </c>
      <c r="F780" s="25" t="s">
        <v>632</v>
      </c>
      <c r="G780" s="25" t="s">
        <v>650</v>
      </c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6"/>
    </row>
    <row r="781" spans="1:30" ht="15" thickBot="1" x14ac:dyDescent="0.35">
      <c r="A781" s="38"/>
      <c r="B781" s="39" t="s">
        <v>974</v>
      </c>
      <c r="C781" s="39" t="s">
        <v>634</v>
      </c>
      <c r="D781" s="39" t="s">
        <v>141</v>
      </c>
      <c r="E781" s="39" t="s">
        <v>643</v>
      </c>
      <c r="F781" s="39" t="s">
        <v>689</v>
      </c>
      <c r="G781" s="39" t="s">
        <v>650</v>
      </c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1"/>
    </row>
    <row r="782" spans="1:30" x14ac:dyDescent="0.3">
      <c r="A782" s="30" t="s">
        <v>131</v>
      </c>
      <c r="B782" s="31" t="s">
        <v>1040</v>
      </c>
      <c r="C782" s="32" t="s">
        <v>620</v>
      </c>
      <c r="D782" s="32" t="s">
        <v>132</v>
      </c>
      <c r="E782" s="32" t="s">
        <v>621</v>
      </c>
      <c r="F782" s="32"/>
      <c r="G782" s="32" t="s">
        <v>622</v>
      </c>
      <c r="H782" s="31" t="s">
        <v>623</v>
      </c>
      <c r="I782" s="31">
        <v>20</v>
      </c>
      <c r="J782" s="31" t="s">
        <v>626</v>
      </c>
      <c r="K782" s="31" t="s">
        <v>105</v>
      </c>
      <c r="L782" s="31" t="s">
        <v>624</v>
      </c>
      <c r="M782" s="31" t="s">
        <v>624</v>
      </c>
      <c r="N782" s="31" t="s">
        <v>624</v>
      </c>
      <c r="O782" s="31" t="s">
        <v>624</v>
      </c>
      <c r="P782" s="31" t="s">
        <v>624</v>
      </c>
      <c r="Q782" s="31" t="s">
        <v>624</v>
      </c>
      <c r="R782" s="31" t="s">
        <v>625</v>
      </c>
      <c r="S782" s="31" t="s">
        <v>625</v>
      </c>
      <c r="T782" s="31" t="s">
        <v>625</v>
      </c>
      <c r="U782" s="31" t="s">
        <v>625</v>
      </c>
      <c r="V782" s="31" t="s">
        <v>626</v>
      </c>
      <c r="W782" s="31" t="s">
        <v>625</v>
      </c>
      <c r="X782" s="31" t="s">
        <v>625</v>
      </c>
      <c r="Y782" s="31" t="s">
        <v>626</v>
      </c>
      <c r="Z782" s="31" t="s">
        <v>626</v>
      </c>
      <c r="AA782" s="31" t="s">
        <v>625</v>
      </c>
      <c r="AB782" s="31" t="s">
        <v>627</v>
      </c>
      <c r="AC782" s="31" t="s">
        <v>628</v>
      </c>
      <c r="AD782" s="33" t="s">
        <v>629</v>
      </c>
    </row>
    <row r="783" spans="1:30" x14ac:dyDescent="0.3">
      <c r="A783" s="34"/>
      <c r="B783" s="35"/>
      <c r="C783" s="25" t="s">
        <v>630</v>
      </c>
      <c r="D783" s="25" t="s">
        <v>133</v>
      </c>
      <c r="E783" s="25" t="s">
        <v>631</v>
      </c>
      <c r="F783" s="25" t="s">
        <v>632</v>
      </c>
      <c r="G783" s="25" t="s">
        <v>633</v>
      </c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6"/>
    </row>
    <row r="784" spans="1:30" x14ac:dyDescent="0.3">
      <c r="A784" s="34"/>
      <c r="B784" s="35"/>
      <c r="C784" s="25" t="s">
        <v>640</v>
      </c>
      <c r="D784" s="25" t="s">
        <v>134</v>
      </c>
      <c r="E784" s="25" t="s">
        <v>725</v>
      </c>
      <c r="F784" s="25" t="s">
        <v>763</v>
      </c>
      <c r="G784" s="25" t="s">
        <v>633</v>
      </c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6"/>
    </row>
    <row r="785" spans="1:30" x14ac:dyDescent="0.3">
      <c r="A785" s="34"/>
      <c r="B785" s="37"/>
      <c r="C785" s="25" t="s">
        <v>642</v>
      </c>
      <c r="D785" s="25" t="s">
        <v>135</v>
      </c>
      <c r="E785" s="25" t="s">
        <v>638</v>
      </c>
      <c r="F785" s="25" t="s">
        <v>639</v>
      </c>
      <c r="G785" s="25" t="s">
        <v>633</v>
      </c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6"/>
    </row>
    <row r="786" spans="1:30" x14ac:dyDescent="0.3">
      <c r="A786" s="34"/>
      <c r="B786" s="25" t="s">
        <v>892</v>
      </c>
      <c r="C786" s="25" t="s">
        <v>634</v>
      </c>
      <c r="D786" s="25" t="s">
        <v>136</v>
      </c>
      <c r="E786" s="25" t="s">
        <v>621</v>
      </c>
      <c r="F786" s="25" t="s">
        <v>653</v>
      </c>
      <c r="G786" s="25" t="s">
        <v>650</v>
      </c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6"/>
    </row>
    <row r="787" spans="1:30" x14ac:dyDescent="0.3">
      <c r="A787" s="34"/>
      <c r="B787" s="25" t="s">
        <v>1032</v>
      </c>
      <c r="C787" s="25" t="s">
        <v>634</v>
      </c>
      <c r="D787" s="25" t="s">
        <v>133</v>
      </c>
      <c r="E787" s="25" t="s">
        <v>631</v>
      </c>
      <c r="F787" s="25" t="s">
        <v>632</v>
      </c>
      <c r="G787" s="25" t="s">
        <v>650</v>
      </c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6"/>
    </row>
    <row r="788" spans="1:30" x14ac:dyDescent="0.3">
      <c r="A788" s="34"/>
      <c r="B788" s="25" t="s">
        <v>746</v>
      </c>
      <c r="C788" s="25" t="s">
        <v>652</v>
      </c>
      <c r="D788" s="25" t="s">
        <v>135</v>
      </c>
      <c r="E788" s="25" t="s">
        <v>638</v>
      </c>
      <c r="F788" s="25" t="s">
        <v>639</v>
      </c>
      <c r="G788" s="25" t="s">
        <v>650</v>
      </c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6"/>
    </row>
    <row r="789" spans="1:30" x14ac:dyDescent="0.3">
      <c r="A789" s="34"/>
      <c r="B789" s="25" t="s">
        <v>759</v>
      </c>
      <c r="C789" s="25" t="s">
        <v>630</v>
      </c>
      <c r="D789" s="25" t="s">
        <v>137</v>
      </c>
      <c r="E789" s="25" t="s">
        <v>760</v>
      </c>
      <c r="F789" s="25" t="s">
        <v>686</v>
      </c>
      <c r="G789" s="25" t="s">
        <v>650</v>
      </c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6"/>
    </row>
    <row r="790" spans="1:30" ht="15" thickBot="1" x14ac:dyDescent="0.35">
      <c r="A790" s="38"/>
      <c r="B790" s="39" t="s">
        <v>769</v>
      </c>
      <c r="C790" s="39" t="s">
        <v>652</v>
      </c>
      <c r="D790" s="39" t="s">
        <v>134</v>
      </c>
      <c r="E790" s="39" t="s">
        <v>725</v>
      </c>
      <c r="F790" s="39" t="s">
        <v>763</v>
      </c>
      <c r="G790" s="39" t="s">
        <v>650</v>
      </c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1"/>
    </row>
    <row r="791" spans="1:30" x14ac:dyDescent="0.3">
      <c r="A791" s="30" t="s">
        <v>557</v>
      </c>
      <c r="B791" s="31" t="s">
        <v>1041</v>
      </c>
      <c r="C791" s="32" t="s">
        <v>620</v>
      </c>
      <c r="D791" s="32" t="s">
        <v>558</v>
      </c>
      <c r="E791" s="32" t="s">
        <v>621</v>
      </c>
      <c r="F791" s="32"/>
      <c r="G791" s="32" t="s">
        <v>622</v>
      </c>
      <c r="H791" s="31" t="s">
        <v>623</v>
      </c>
      <c r="I791" s="31">
        <v>94</v>
      </c>
      <c r="J791" s="31" t="s">
        <v>626</v>
      </c>
      <c r="K791" s="31" t="s">
        <v>105</v>
      </c>
      <c r="L791" s="31" t="s">
        <v>624</v>
      </c>
      <c r="M791" s="31" t="s">
        <v>624</v>
      </c>
      <c r="N791" s="31" t="s">
        <v>624</v>
      </c>
      <c r="O791" s="31" t="s">
        <v>624</v>
      </c>
      <c r="P791" s="31" t="s">
        <v>624</v>
      </c>
      <c r="Q791" s="31" t="s">
        <v>624</v>
      </c>
      <c r="R791" s="31" t="s">
        <v>625</v>
      </c>
      <c r="S791" s="31" t="s">
        <v>625</v>
      </c>
      <c r="T791" s="31" t="s">
        <v>625</v>
      </c>
      <c r="U791" s="31" t="s">
        <v>625</v>
      </c>
      <c r="V791" s="31" t="s">
        <v>626</v>
      </c>
      <c r="W791" s="31" t="s">
        <v>625</v>
      </c>
      <c r="X791" s="31" t="s">
        <v>625</v>
      </c>
      <c r="Y791" s="31" t="s">
        <v>626</v>
      </c>
      <c r="Z791" s="31" t="s">
        <v>626</v>
      </c>
      <c r="AA791" s="31" t="s">
        <v>625</v>
      </c>
      <c r="AB791" s="31" t="s">
        <v>627</v>
      </c>
      <c r="AC791" s="31" t="s">
        <v>628</v>
      </c>
      <c r="AD791" s="33" t="s">
        <v>629</v>
      </c>
    </row>
    <row r="792" spans="1:30" x14ac:dyDescent="0.3">
      <c r="A792" s="34"/>
      <c r="B792" s="35"/>
      <c r="C792" s="25" t="s">
        <v>630</v>
      </c>
      <c r="D792" s="25" t="s">
        <v>141</v>
      </c>
      <c r="E792" s="25" t="s">
        <v>643</v>
      </c>
      <c r="F792" s="25" t="s">
        <v>689</v>
      </c>
      <c r="G792" s="25" t="s">
        <v>633</v>
      </c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6"/>
    </row>
    <row r="793" spans="1:30" x14ac:dyDescent="0.3">
      <c r="A793" s="34"/>
      <c r="B793" s="37"/>
      <c r="C793" s="25" t="s">
        <v>634</v>
      </c>
      <c r="D793" s="25" t="s">
        <v>30</v>
      </c>
      <c r="E793" s="25" t="s">
        <v>638</v>
      </c>
      <c r="F793" s="25" t="s">
        <v>639</v>
      </c>
      <c r="G793" s="25" t="s">
        <v>633</v>
      </c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6"/>
    </row>
    <row r="794" spans="1:30" x14ac:dyDescent="0.3">
      <c r="A794" s="34"/>
      <c r="B794" s="25" t="s">
        <v>626</v>
      </c>
      <c r="C794" s="25" t="s">
        <v>626</v>
      </c>
      <c r="D794" s="25" t="s">
        <v>1042</v>
      </c>
      <c r="E794" s="25" t="s">
        <v>666</v>
      </c>
      <c r="F794" s="25" t="s">
        <v>667</v>
      </c>
      <c r="G794" s="25" t="s">
        <v>650</v>
      </c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6"/>
    </row>
    <row r="795" spans="1:30" x14ac:dyDescent="0.3">
      <c r="A795" s="34"/>
      <c r="B795" s="25" t="s">
        <v>626</v>
      </c>
      <c r="C795" s="25" t="s">
        <v>626</v>
      </c>
      <c r="D795" s="25" t="s">
        <v>1043</v>
      </c>
      <c r="E795" s="25" t="s">
        <v>677</v>
      </c>
      <c r="F795" s="25" t="s">
        <v>756</v>
      </c>
      <c r="G795" s="25" t="s">
        <v>650</v>
      </c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6"/>
    </row>
    <row r="796" spans="1:30" x14ac:dyDescent="0.3">
      <c r="A796" s="34"/>
      <c r="B796" s="25" t="s">
        <v>651</v>
      </c>
      <c r="C796" s="25" t="s">
        <v>637</v>
      </c>
      <c r="D796" s="25" t="s">
        <v>256</v>
      </c>
      <c r="E796" s="25" t="s">
        <v>621</v>
      </c>
      <c r="F796" s="25" t="s">
        <v>653</v>
      </c>
      <c r="G796" s="25" t="s">
        <v>650</v>
      </c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6"/>
    </row>
    <row r="797" spans="1:30" x14ac:dyDescent="0.3">
      <c r="A797" s="34"/>
      <c r="B797" s="25" t="s">
        <v>670</v>
      </c>
      <c r="C797" s="25" t="s">
        <v>645</v>
      </c>
      <c r="D797" s="25" t="s">
        <v>30</v>
      </c>
      <c r="E797" s="25" t="s">
        <v>638</v>
      </c>
      <c r="F797" s="25" t="s">
        <v>639</v>
      </c>
      <c r="G797" s="25" t="s">
        <v>650</v>
      </c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6"/>
    </row>
    <row r="798" spans="1:30" ht="15" thickBot="1" x14ac:dyDescent="0.35">
      <c r="A798" s="38"/>
      <c r="B798" s="39" t="s">
        <v>974</v>
      </c>
      <c r="C798" s="39" t="s">
        <v>652</v>
      </c>
      <c r="D798" s="39" t="s">
        <v>141</v>
      </c>
      <c r="E798" s="39" t="s">
        <v>643</v>
      </c>
      <c r="F798" s="39" t="s">
        <v>689</v>
      </c>
      <c r="G798" s="39" t="s">
        <v>650</v>
      </c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1"/>
    </row>
    <row r="799" spans="1:30" x14ac:dyDescent="0.3">
      <c r="A799" s="30" t="s">
        <v>553</v>
      </c>
      <c r="B799" s="31" t="s">
        <v>1044</v>
      </c>
      <c r="C799" s="32" t="s">
        <v>620</v>
      </c>
      <c r="D799" s="32" t="s">
        <v>554</v>
      </c>
      <c r="E799" s="32" t="s">
        <v>621</v>
      </c>
      <c r="F799" s="32"/>
      <c r="G799" s="32" t="s">
        <v>622</v>
      </c>
      <c r="H799" s="31" t="s">
        <v>623</v>
      </c>
      <c r="I799" s="31">
        <v>93</v>
      </c>
      <c r="J799" s="31" t="s">
        <v>626</v>
      </c>
      <c r="K799" s="31" t="s">
        <v>105</v>
      </c>
      <c r="L799" s="31" t="s">
        <v>624</v>
      </c>
      <c r="M799" s="31" t="s">
        <v>624</v>
      </c>
      <c r="N799" s="31" t="s">
        <v>624</v>
      </c>
      <c r="O799" s="31" t="s">
        <v>624</v>
      </c>
      <c r="P799" s="31" t="s">
        <v>624</v>
      </c>
      <c r="Q799" s="31" t="s">
        <v>624</v>
      </c>
      <c r="R799" s="31" t="s">
        <v>625</v>
      </c>
      <c r="S799" s="31" t="s">
        <v>625</v>
      </c>
      <c r="T799" s="31" t="s">
        <v>625</v>
      </c>
      <c r="U799" s="31" t="s">
        <v>625</v>
      </c>
      <c r="V799" s="31" t="s">
        <v>626</v>
      </c>
      <c r="W799" s="31" t="s">
        <v>625</v>
      </c>
      <c r="X799" s="31" t="s">
        <v>625</v>
      </c>
      <c r="Y799" s="31" t="s">
        <v>626</v>
      </c>
      <c r="Z799" s="31" t="s">
        <v>626</v>
      </c>
      <c r="AA799" s="31" t="s">
        <v>625</v>
      </c>
      <c r="AB799" s="31" t="s">
        <v>627</v>
      </c>
      <c r="AC799" s="31" t="s">
        <v>628</v>
      </c>
      <c r="AD799" s="33" t="s">
        <v>629</v>
      </c>
    </row>
    <row r="800" spans="1:30" x14ac:dyDescent="0.3">
      <c r="A800" s="34"/>
      <c r="B800" s="35"/>
      <c r="C800" s="25" t="s">
        <v>630</v>
      </c>
      <c r="D800" s="25" t="s">
        <v>149</v>
      </c>
      <c r="E800" s="25" t="s">
        <v>643</v>
      </c>
      <c r="F800" s="25" t="s">
        <v>692</v>
      </c>
      <c r="G800" s="25" t="s">
        <v>633</v>
      </c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6"/>
    </row>
    <row r="801" spans="1:30" x14ac:dyDescent="0.3">
      <c r="A801" s="34"/>
      <c r="B801" s="37"/>
      <c r="C801" s="25" t="s">
        <v>634</v>
      </c>
      <c r="D801" s="25" t="s">
        <v>43</v>
      </c>
      <c r="E801" s="25" t="s">
        <v>638</v>
      </c>
      <c r="F801" s="25" t="s">
        <v>639</v>
      </c>
      <c r="G801" s="25" t="s">
        <v>633</v>
      </c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6"/>
    </row>
    <row r="802" spans="1:30" x14ac:dyDescent="0.3">
      <c r="A802" s="34"/>
      <c r="B802" s="25" t="s">
        <v>626</v>
      </c>
      <c r="C802" s="25" t="s">
        <v>626</v>
      </c>
      <c r="D802" s="25" t="s">
        <v>555</v>
      </c>
      <c r="E802" s="25" t="s">
        <v>677</v>
      </c>
      <c r="F802" s="25" t="s">
        <v>756</v>
      </c>
      <c r="G802" s="25" t="s">
        <v>650</v>
      </c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6"/>
    </row>
    <row r="803" spans="1:30" x14ac:dyDescent="0.3">
      <c r="A803" s="34"/>
      <c r="B803" s="25" t="s">
        <v>668</v>
      </c>
      <c r="C803" s="25" t="s">
        <v>637</v>
      </c>
      <c r="D803" s="25" t="s">
        <v>251</v>
      </c>
      <c r="E803" s="25" t="s">
        <v>621</v>
      </c>
      <c r="F803" s="25" t="s">
        <v>653</v>
      </c>
      <c r="G803" s="25" t="s">
        <v>650</v>
      </c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6"/>
    </row>
    <row r="804" spans="1:30" x14ac:dyDescent="0.3">
      <c r="A804" s="34"/>
      <c r="B804" s="25" t="s">
        <v>656</v>
      </c>
      <c r="C804" s="25" t="s">
        <v>711</v>
      </c>
      <c r="D804" s="25" t="s">
        <v>43</v>
      </c>
      <c r="E804" s="25" t="s">
        <v>638</v>
      </c>
      <c r="F804" s="25" t="s">
        <v>639</v>
      </c>
      <c r="G804" s="25" t="s">
        <v>650</v>
      </c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6"/>
    </row>
    <row r="805" spans="1:30" ht="15" thickBot="1" x14ac:dyDescent="0.35">
      <c r="A805" s="38"/>
      <c r="B805" s="39" t="s">
        <v>968</v>
      </c>
      <c r="C805" s="39" t="s">
        <v>630</v>
      </c>
      <c r="D805" s="39" t="s">
        <v>149</v>
      </c>
      <c r="E805" s="39" t="s">
        <v>643</v>
      </c>
      <c r="F805" s="39" t="s">
        <v>692</v>
      </c>
      <c r="G805" s="39" t="s">
        <v>650</v>
      </c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1"/>
    </row>
    <row r="806" spans="1:30" x14ac:dyDescent="0.3">
      <c r="A806" s="30" t="s">
        <v>526</v>
      </c>
      <c r="B806" s="31" t="s">
        <v>1045</v>
      </c>
      <c r="C806" s="32" t="s">
        <v>620</v>
      </c>
      <c r="D806" s="32" t="s">
        <v>527</v>
      </c>
      <c r="E806" s="32" t="s">
        <v>621</v>
      </c>
      <c r="F806" s="32"/>
      <c r="G806" s="32" t="s">
        <v>622</v>
      </c>
      <c r="H806" s="31" t="s">
        <v>623</v>
      </c>
      <c r="I806" s="31">
        <v>85</v>
      </c>
      <c r="J806" s="31" t="s">
        <v>626</v>
      </c>
      <c r="K806" s="31" t="s">
        <v>105</v>
      </c>
      <c r="L806" s="31" t="s">
        <v>624</v>
      </c>
      <c r="M806" s="31" t="s">
        <v>624</v>
      </c>
      <c r="N806" s="31" t="s">
        <v>624</v>
      </c>
      <c r="O806" s="31" t="s">
        <v>624</v>
      </c>
      <c r="P806" s="31" t="s">
        <v>624</v>
      </c>
      <c r="Q806" s="31" t="s">
        <v>624</v>
      </c>
      <c r="R806" s="31" t="s">
        <v>625</v>
      </c>
      <c r="S806" s="31" t="s">
        <v>625</v>
      </c>
      <c r="T806" s="31" t="s">
        <v>625</v>
      </c>
      <c r="U806" s="31" t="s">
        <v>625</v>
      </c>
      <c r="V806" s="31" t="s">
        <v>626</v>
      </c>
      <c r="W806" s="31" t="s">
        <v>625</v>
      </c>
      <c r="X806" s="31" t="s">
        <v>625</v>
      </c>
      <c r="Y806" s="31" t="s">
        <v>626</v>
      </c>
      <c r="Z806" s="31" t="s">
        <v>626</v>
      </c>
      <c r="AA806" s="31" t="s">
        <v>625</v>
      </c>
      <c r="AB806" s="31" t="s">
        <v>627</v>
      </c>
      <c r="AC806" s="31" t="s">
        <v>628</v>
      </c>
      <c r="AD806" s="33" t="s">
        <v>629</v>
      </c>
    </row>
    <row r="807" spans="1:30" x14ac:dyDescent="0.3">
      <c r="A807" s="34"/>
      <c r="B807" s="35"/>
      <c r="C807" s="25" t="s">
        <v>630</v>
      </c>
      <c r="D807" s="25" t="s">
        <v>198</v>
      </c>
      <c r="E807" s="25" t="s">
        <v>643</v>
      </c>
      <c r="F807" s="25" t="s">
        <v>753</v>
      </c>
      <c r="G807" s="25" t="s">
        <v>633</v>
      </c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6"/>
    </row>
    <row r="808" spans="1:30" x14ac:dyDescent="0.3">
      <c r="A808" s="34"/>
      <c r="B808" s="35"/>
      <c r="C808" s="25" t="s">
        <v>634</v>
      </c>
      <c r="D808" s="25" t="s">
        <v>53</v>
      </c>
      <c r="E808" s="25" t="s">
        <v>631</v>
      </c>
      <c r="F808" s="25" t="s">
        <v>632</v>
      </c>
      <c r="G808" s="25" t="s">
        <v>633</v>
      </c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6"/>
    </row>
    <row r="809" spans="1:30" x14ac:dyDescent="0.3">
      <c r="A809" s="34"/>
      <c r="B809" s="35"/>
      <c r="C809" s="25" t="s">
        <v>637</v>
      </c>
      <c r="D809" s="25" t="s">
        <v>369</v>
      </c>
      <c r="E809" s="25" t="s">
        <v>641</v>
      </c>
      <c r="F809" s="25" t="s">
        <v>632</v>
      </c>
      <c r="G809" s="25" t="s">
        <v>633</v>
      </c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6"/>
    </row>
    <row r="810" spans="1:30" x14ac:dyDescent="0.3">
      <c r="A810" s="34"/>
      <c r="B810" s="35"/>
      <c r="C810" s="25" t="s">
        <v>642</v>
      </c>
      <c r="D810" s="25" t="s">
        <v>228</v>
      </c>
      <c r="E810" s="25" t="s">
        <v>638</v>
      </c>
      <c r="F810" s="25" t="s">
        <v>639</v>
      </c>
      <c r="G810" s="25" t="s">
        <v>633</v>
      </c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6"/>
    </row>
    <row r="811" spans="1:30" x14ac:dyDescent="0.3">
      <c r="A811" s="34"/>
      <c r="B811" s="37"/>
      <c r="C811" s="25" t="s">
        <v>645</v>
      </c>
      <c r="D811" s="25" t="s">
        <v>304</v>
      </c>
      <c r="E811" s="25" t="s">
        <v>648</v>
      </c>
      <c r="F811" s="25" t="s">
        <v>859</v>
      </c>
      <c r="G811" s="25" t="s">
        <v>633</v>
      </c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6"/>
    </row>
    <row r="812" spans="1:30" x14ac:dyDescent="0.3">
      <c r="A812" s="34"/>
      <c r="B812" s="25" t="s">
        <v>626</v>
      </c>
      <c r="C812" s="25" t="s">
        <v>626</v>
      </c>
      <c r="D812" s="25" t="s">
        <v>1046</v>
      </c>
      <c r="E812" s="25" t="s">
        <v>666</v>
      </c>
      <c r="F812" s="25" t="s">
        <v>667</v>
      </c>
      <c r="G812" s="25" t="s">
        <v>650</v>
      </c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6"/>
    </row>
    <row r="813" spans="1:30" x14ac:dyDescent="0.3">
      <c r="A813" s="34"/>
      <c r="B813" s="25" t="s">
        <v>626</v>
      </c>
      <c r="C813" s="25" t="s">
        <v>626</v>
      </c>
      <c r="D813" s="25" t="s">
        <v>1047</v>
      </c>
      <c r="E813" s="25" t="s">
        <v>677</v>
      </c>
      <c r="F813" s="25" t="s">
        <v>756</v>
      </c>
      <c r="G813" s="25" t="s">
        <v>650</v>
      </c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6"/>
    </row>
    <row r="814" spans="1:30" x14ac:dyDescent="0.3">
      <c r="A814" s="34"/>
      <c r="B814" s="25" t="s">
        <v>680</v>
      </c>
      <c r="C814" s="25" t="s">
        <v>637</v>
      </c>
      <c r="D814" s="25" t="s">
        <v>216</v>
      </c>
      <c r="E814" s="25" t="s">
        <v>621</v>
      </c>
      <c r="F814" s="25" t="s">
        <v>653</v>
      </c>
      <c r="G814" s="25" t="s">
        <v>650</v>
      </c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6"/>
    </row>
    <row r="815" spans="1:30" x14ac:dyDescent="0.3">
      <c r="A815" s="34"/>
      <c r="B815" s="25" t="s">
        <v>844</v>
      </c>
      <c r="C815" s="25" t="s">
        <v>640</v>
      </c>
      <c r="D815" s="25" t="s">
        <v>53</v>
      </c>
      <c r="E815" s="25" t="s">
        <v>631</v>
      </c>
      <c r="F815" s="25" t="s">
        <v>632</v>
      </c>
      <c r="G815" s="25" t="s">
        <v>650</v>
      </c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6"/>
    </row>
    <row r="816" spans="1:30" x14ac:dyDescent="0.3">
      <c r="A816" s="34"/>
      <c r="B816" s="25" t="s">
        <v>971</v>
      </c>
      <c r="C816" s="25" t="s">
        <v>637</v>
      </c>
      <c r="D816" s="25" t="s">
        <v>369</v>
      </c>
      <c r="E816" s="25" t="s">
        <v>641</v>
      </c>
      <c r="F816" s="25" t="s">
        <v>632</v>
      </c>
      <c r="G816" s="25" t="s">
        <v>650</v>
      </c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6"/>
    </row>
    <row r="817" spans="1:30" x14ac:dyDescent="0.3">
      <c r="A817" s="34"/>
      <c r="B817" s="25" t="s">
        <v>972</v>
      </c>
      <c r="C817" s="25" t="s">
        <v>637</v>
      </c>
      <c r="D817" s="25" t="s">
        <v>228</v>
      </c>
      <c r="E817" s="25" t="s">
        <v>638</v>
      </c>
      <c r="F817" s="25" t="s">
        <v>639</v>
      </c>
      <c r="G817" s="25" t="s">
        <v>650</v>
      </c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6"/>
    </row>
    <row r="818" spans="1:30" x14ac:dyDescent="0.3">
      <c r="A818" s="34"/>
      <c r="B818" s="25" t="s">
        <v>855</v>
      </c>
      <c r="C818" s="25" t="s">
        <v>652</v>
      </c>
      <c r="D818" s="25" t="s">
        <v>198</v>
      </c>
      <c r="E818" s="25" t="s">
        <v>643</v>
      </c>
      <c r="F818" s="25" t="s">
        <v>753</v>
      </c>
      <c r="G818" s="25" t="s">
        <v>650</v>
      </c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6"/>
    </row>
    <row r="819" spans="1:30" ht="15" thickBot="1" x14ac:dyDescent="0.35">
      <c r="A819" s="38"/>
      <c r="B819" s="39" t="s">
        <v>738</v>
      </c>
      <c r="C819" s="39" t="s">
        <v>652</v>
      </c>
      <c r="D819" s="39" t="s">
        <v>48</v>
      </c>
      <c r="E819" s="39" t="s">
        <v>739</v>
      </c>
      <c r="F819" s="39" t="s">
        <v>660</v>
      </c>
      <c r="G819" s="39" t="s">
        <v>650</v>
      </c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1"/>
    </row>
    <row r="820" spans="1:30" x14ac:dyDescent="0.3">
      <c r="A820" s="30" t="s">
        <v>115</v>
      </c>
      <c r="B820" s="31" t="s">
        <v>1048</v>
      </c>
      <c r="C820" s="32" t="s">
        <v>620</v>
      </c>
      <c r="D820" s="32" t="s">
        <v>116</v>
      </c>
      <c r="E820" s="32" t="s">
        <v>621</v>
      </c>
      <c r="F820" s="32"/>
      <c r="G820" s="32" t="s">
        <v>622</v>
      </c>
      <c r="H820" s="31" t="s">
        <v>623</v>
      </c>
      <c r="I820" s="31">
        <v>18</v>
      </c>
      <c r="J820" s="31" t="s">
        <v>626</v>
      </c>
      <c r="K820" s="31" t="s">
        <v>105</v>
      </c>
      <c r="L820" s="31" t="s">
        <v>624</v>
      </c>
      <c r="M820" s="31" t="s">
        <v>624</v>
      </c>
      <c r="N820" s="31" t="s">
        <v>624</v>
      </c>
      <c r="O820" s="31" t="s">
        <v>624</v>
      </c>
      <c r="P820" s="31" t="s">
        <v>624</v>
      </c>
      <c r="Q820" s="31" t="s">
        <v>624</v>
      </c>
      <c r="R820" s="31" t="s">
        <v>625</v>
      </c>
      <c r="S820" s="31" t="s">
        <v>625</v>
      </c>
      <c r="T820" s="31" t="s">
        <v>625</v>
      </c>
      <c r="U820" s="31" t="s">
        <v>625</v>
      </c>
      <c r="V820" s="31" t="s">
        <v>626</v>
      </c>
      <c r="W820" s="31" t="s">
        <v>625</v>
      </c>
      <c r="X820" s="31" t="s">
        <v>625</v>
      </c>
      <c r="Y820" s="31" t="s">
        <v>626</v>
      </c>
      <c r="Z820" s="31" t="s">
        <v>626</v>
      </c>
      <c r="AA820" s="31" t="s">
        <v>625</v>
      </c>
      <c r="AB820" s="31" t="s">
        <v>627</v>
      </c>
      <c r="AC820" s="31" t="s">
        <v>628</v>
      </c>
      <c r="AD820" s="33" t="s">
        <v>629</v>
      </c>
    </row>
    <row r="821" spans="1:30" x14ac:dyDescent="0.3">
      <c r="A821" s="34"/>
      <c r="B821" s="35"/>
      <c r="C821" s="25" t="s">
        <v>634</v>
      </c>
      <c r="D821" s="25" t="s">
        <v>117</v>
      </c>
      <c r="E821" s="25" t="s">
        <v>631</v>
      </c>
      <c r="F821" s="25" t="s">
        <v>632</v>
      </c>
      <c r="G821" s="25" t="s">
        <v>633</v>
      </c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6"/>
    </row>
    <row r="822" spans="1:30" x14ac:dyDescent="0.3">
      <c r="A822" s="34"/>
      <c r="B822" s="35"/>
      <c r="C822" s="25" t="s">
        <v>637</v>
      </c>
      <c r="D822" s="25" t="s">
        <v>118</v>
      </c>
      <c r="E822" s="25" t="s">
        <v>638</v>
      </c>
      <c r="F822" s="25" t="s">
        <v>639</v>
      </c>
      <c r="G822" s="25" t="s">
        <v>633</v>
      </c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6"/>
    </row>
    <row r="823" spans="1:30" x14ac:dyDescent="0.3">
      <c r="A823" s="34"/>
      <c r="B823" s="35"/>
      <c r="C823" s="25" t="s">
        <v>640</v>
      </c>
      <c r="D823" s="25" t="s">
        <v>119</v>
      </c>
      <c r="E823" s="25" t="s">
        <v>760</v>
      </c>
      <c r="F823" s="25" t="s">
        <v>662</v>
      </c>
      <c r="G823" s="25" t="s">
        <v>633</v>
      </c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6"/>
    </row>
    <row r="824" spans="1:30" x14ac:dyDescent="0.3">
      <c r="A824" s="34"/>
      <c r="B824" s="37"/>
      <c r="C824" s="25" t="s">
        <v>645</v>
      </c>
      <c r="D824" s="25" t="s">
        <v>120</v>
      </c>
      <c r="E824" s="25" t="s">
        <v>707</v>
      </c>
      <c r="F824" s="25" t="s">
        <v>708</v>
      </c>
      <c r="G824" s="25" t="s">
        <v>633</v>
      </c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6"/>
    </row>
    <row r="825" spans="1:30" x14ac:dyDescent="0.3">
      <c r="A825" s="34"/>
      <c r="B825" s="25" t="s">
        <v>694</v>
      </c>
      <c r="C825" s="25" t="s">
        <v>637</v>
      </c>
      <c r="D825" s="25" t="s">
        <v>121</v>
      </c>
      <c r="E825" s="25" t="s">
        <v>621</v>
      </c>
      <c r="F825" s="25" t="s">
        <v>653</v>
      </c>
      <c r="G825" s="25" t="s">
        <v>650</v>
      </c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6"/>
    </row>
    <row r="826" spans="1:30" x14ac:dyDescent="0.3">
      <c r="A826" s="34"/>
      <c r="B826" s="25" t="s">
        <v>1022</v>
      </c>
      <c r="C826" s="25" t="s">
        <v>637</v>
      </c>
      <c r="D826" s="25" t="s">
        <v>117</v>
      </c>
      <c r="E826" s="25" t="s">
        <v>631</v>
      </c>
      <c r="F826" s="25" t="s">
        <v>632</v>
      </c>
      <c r="G826" s="25" t="s">
        <v>650</v>
      </c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6"/>
    </row>
    <row r="827" spans="1:30" x14ac:dyDescent="0.3">
      <c r="A827" s="34"/>
      <c r="B827" s="25" t="s">
        <v>715</v>
      </c>
      <c r="C827" s="25" t="s">
        <v>642</v>
      </c>
      <c r="D827" s="25" t="s">
        <v>118</v>
      </c>
      <c r="E827" s="25" t="s">
        <v>638</v>
      </c>
      <c r="F827" s="25" t="s">
        <v>639</v>
      </c>
      <c r="G827" s="25" t="s">
        <v>650</v>
      </c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6"/>
    </row>
    <row r="828" spans="1:30" ht="15" thickBot="1" x14ac:dyDescent="0.35">
      <c r="A828" s="38"/>
      <c r="B828" s="39" t="s">
        <v>1004</v>
      </c>
      <c r="C828" s="39" t="s">
        <v>652</v>
      </c>
      <c r="D828" s="39" t="s">
        <v>60</v>
      </c>
      <c r="E828" s="39" t="s">
        <v>646</v>
      </c>
      <c r="F828" s="39" t="s">
        <v>864</v>
      </c>
      <c r="G828" s="39" t="s">
        <v>650</v>
      </c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1"/>
    </row>
    <row r="829" spans="1:30" x14ac:dyDescent="0.3">
      <c r="A829" s="30" t="s">
        <v>522</v>
      </c>
      <c r="B829" s="31" t="s">
        <v>1049</v>
      </c>
      <c r="C829" s="32" t="s">
        <v>620</v>
      </c>
      <c r="D829" s="32" t="s">
        <v>523</v>
      </c>
      <c r="E829" s="32" t="s">
        <v>621</v>
      </c>
      <c r="F829" s="32"/>
      <c r="G829" s="32" t="s">
        <v>622</v>
      </c>
      <c r="H829" s="31" t="s">
        <v>623</v>
      </c>
      <c r="I829" s="31">
        <v>84</v>
      </c>
      <c r="J829" s="31" t="s">
        <v>626</v>
      </c>
      <c r="K829" s="31" t="s">
        <v>105</v>
      </c>
      <c r="L829" s="31" t="s">
        <v>624</v>
      </c>
      <c r="M829" s="31" t="s">
        <v>624</v>
      </c>
      <c r="N829" s="31" t="s">
        <v>624</v>
      </c>
      <c r="O829" s="31" t="s">
        <v>624</v>
      </c>
      <c r="P829" s="31" t="s">
        <v>624</v>
      </c>
      <c r="Q829" s="31" t="s">
        <v>624</v>
      </c>
      <c r="R829" s="31" t="s">
        <v>625</v>
      </c>
      <c r="S829" s="31" t="s">
        <v>625</v>
      </c>
      <c r="T829" s="31" t="s">
        <v>625</v>
      </c>
      <c r="U829" s="31" t="s">
        <v>625</v>
      </c>
      <c r="V829" s="31" t="s">
        <v>626</v>
      </c>
      <c r="W829" s="31" t="s">
        <v>625</v>
      </c>
      <c r="X829" s="31" t="s">
        <v>625</v>
      </c>
      <c r="Y829" s="31" t="s">
        <v>626</v>
      </c>
      <c r="Z829" s="31" t="s">
        <v>626</v>
      </c>
      <c r="AA829" s="31" t="s">
        <v>625</v>
      </c>
      <c r="AB829" s="31" t="s">
        <v>627</v>
      </c>
      <c r="AC829" s="31" t="s">
        <v>628</v>
      </c>
      <c r="AD829" s="33" t="s">
        <v>629</v>
      </c>
    </row>
    <row r="830" spans="1:30" x14ac:dyDescent="0.3">
      <c r="A830" s="34"/>
      <c r="B830" s="35"/>
      <c r="C830" s="25" t="s">
        <v>630</v>
      </c>
      <c r="D830" s="25" t="s">
        <v>212</v>
      </c>
      <c r="E830" s="25" t="s">
        <v>643</v>
      </c>
      <c r="F830" s="25" t="s">
        <v>823</v>
      </c>
      <c r="G830" s="25" t="s">
        <v>633</v>
      </c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6"/>
    </row>
    <row r="831" spans="1:30" x14ac:dyDescent="0.3">
      <c r="A831" s="34"/>
      <c r="B831" s="35"/>
      <c r="C831" s="25" t="s">
        <v>634</v>
      </c>
      <c r="D831" s="25" t="s">
        <v>29</v>
      </c>
      <c r="E831" s="25" t="s">
        <v>739</v>
      </c>
      <c r="F831" s="25" t="s">
        <v>662</v>
      </c>
      <c r="G831" s="25" t="s">
        <v>633</v>
      </c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6"/>
    </row>
    <row r="832" spans="1:30" x14ac:dyDescent="0.3">
      <c r="A832" s="34"/>
      <c r="B832" s="35"/>
      <c r="C832" s="25" t="s">
        <v>637</v>
      </c>
      <c r="D832" s="25" t="s">
        <v>148</v>
      </c>
      <c r="E832" s="25" t="s">
        <v>641</v>
      </c>
      <c r="F832" s="25" t="s">
        <v>632</v>
      </c>
      <c r="G832" s="25" t="s">
        <v>633</v>
      </c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6"/>
    </row>
    <row r="833" spans="1:30" x14ac:dyDescent="0.3">
      <c r="A833" s="34"/>
      <c r="B833" s="35"/>
      <c r="C833" s="25" t="s">
        <v>642</v>
      </c>
      <c r="D833" s="25" t="s">
        <v>182</v>
      </c>
      <c r="E833" s="25" t="s">
        <v>638</v>
      </c>
      <c r="F833" s="25" t="s">
        <v>639</v>
      </c>
      <c r="G833" s="25" t="s">
        <v>633</v>
      </c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6"/>
    </row>
    <row r="834" spans="1:30" x14ac:dyDescent="0.3">
      <c r="A834" s="34"/>
      <c r="B834" s="37"/>
      <c r="C834" s="25" t="s">
        <v>645</v>
      </c>
      <c r="D834" s="25" t="s">
        <v>293</v>
      </c>
      <c r="E834" s="25" t="s">
        <v>648</v>
      </c>
      <c r="F834" s="25" t="s">
        <v>859</v>
      </c>
      <c r="G834" s="25" t="s">
        <v>633</v>
      </c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6"/>
    </row>
    <row r="835" spans="1:30" x14ac:dyDescent="0.3">
      <c r="A835" s="34"/>
      <c r="B835" s="25" t="s">
        <v>626</v>
      </c>
      <c r="C835" s="25" t="s">
        <v>626</v>
      </c>
      <c r="D835" s="25" t="s">
        <v>1050</v>
      </c>
      <c r="E835" s="25" t="s">
        <v>677</v>
      </c>
      <c r="F835" s="25" t="s">
        <v>756</v>
      </c>
      <c r="G835" s="25" t="s">
        <v>650</v>
      </c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6"/>
    </row>
    <row r="836" spans="1:30" x14ac:dyDescent="0.3">
      <c r="A836" s="34"/>
      <c r="B836" s="25" t="s">
        <v>626</v>
      </c>
      <c r="C836" s="25" t="s">
        <v>626</v>
      </c>
      <c r="D836" s="25" t="s">
        <v>1051</v>
      </c>
      <c r="E836" s="25" t="s">
        <v>666</v>
      </c>
      <c r="F836" s="25" t="s">
        <v>667</v>
      </c>
      <c r="G836" s="25" t="s">
        <v>650</v>
      </c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6"/>
    </row>
    <row r="837" spans="1:30" x14ac:dyDescent="0.3">
      <c r="A837" s="34"/>
      <c r="B837" s="25" t="s">
        <v>732</v>
      </c>
      <c r="C837" s="25" t="s">
        <v>637</v>
      </c>
      <c r="D837" s="25" t="s">
        <v>389</v>
      </c>
      <c r="E837" s="25" t="s">
        <v>621</v>
      </c>
      <c r="F837" s="25" t="s">
        <v>653</v>
      </c>
      <c r="G837" s="25" t="s">
        <v>650</v>
      </c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6"/>
    </row>
    <row r="838" spans="1:30" x14ac:dyDescent="0.3">
      <c r="A838" s="34"/>
      <c r="B838" s="25" t="s">
        <v>1038</v>
      </c>
      <c r="C838" s="25" t="s">
        <v>640</v>
      </c>
      <c r="D838" s="25" t="s">
        <v>148</v>
      </c>
      <c r="E838" s="25" t="s">
        <v>641</v>
      </c>
      <c r="F838" s="25" t="s">
        <v>632</v>
      </c>
      <c r="G838" s="25" t="s">
        <v>650</v>
      </c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6"/>
    </row>
    <row r="839" spans="1:30" x14ac:dyDescent="0.3">
      <c r="A839" s="34"/>
      <c r="B839" s="25" t="s">
        <v>966</v>
      </c>
      <c r="C839" s="25" t="s">
        <v>637</v>
      </c>
      <c r="D839" s="25" t="s">
        <v>182</v>
      </c>
      <c r="E839" s="25" t="s">
        <v>638</v>
      </c>
      <c r="F839" s="25" t="s">
        <v>639</v>
      </c>
      <c r="G839" s="25" t="s">
        <v>650</v>
      </c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6"/>
    </row>
    <row r="840" spans="1:30" ht="15" thickBot="1" x14ac:dyDescent="0.35">
      <c r="A840" s="38"/>
      <c r="B840" s="39" t="s">
        <v>937</v>
      </c>
      <c r="C840" s="39" t="s">
        <v>652</v>
      </c>
      <c r="D840" s="39" t="s">
        <v>212</v>
      </c>
      <c r="E840" s="39" t="s">
        <v>643</v>
      </c>
      <c r="F840" s="39" t="s">
        <v>823</v>
      </c>
      <c r="G840" s="39" t="s">
        <v>650</v>
      </c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1"/>
    </row>
    <row r="841" spans="1:30" x14ac:dyDescent="0.3">
      <c r="A841" s="30" t="s">
        <v>392</v>
      </c>
      <c r="B841" s="31" t="s">
        <v>1052</v>
      </c>
      <c r="C841" s="32" t="s">
        <v>620</v>
      </c>
      <c r="D841" s="32" t="s">
        <v>393</v>
      </c>
      <c r="E841" s="32" t="s">
        <v>621</v>
      </c>
      <c r="F841" s="32"/>
      <c r="G841" s="32" t="s">
        <v>622</v>
      </c>
      <c r="H841" s="31" t="s">
        <v>623</v>
      </c>
      <c r="I841" s="31">
        <v>59</v>
      </c>
      <c r="J841" s="31" t="s">
        <v>626</v>
      </c>
      <c r="K841" s="31" t="s">
        <v>105</v>
      </c>
      <c r="L841" s="31" t="s">
        <v>624</v>
      </c>
      <c r="M841" s="31" t="s">
        <v>624</v>
      </c>
      <c r="N841" s="31" t="s">
        <v>624</v>
      </c>
      <c r="O841" s="31" t="s">
        <v>624</v>
      </c>
      <c r="P841" s="31" t="s">
        <v>624</v>
      </c>
      <c r="Q841" s="31" t="s">
        <v>624</v>
      </c>
      <c r="R841" s="31" t="s">
        <v>625</v>
      </c>
      <c r="S841" s="31" t="s">
        <v>625</v>
      </c>
      <c r="T841" s="31" t="s">
        <v>625</v>
      </c>
      <c r="U841" s="31" t="s">
        <v>625</v>
      </c>
      <c r="V841" s="31" t="s">
        <v>626</v>
      </c>
      <c r="W841" s="31" t="s">
        <v>625</v>
      </c>
      <c r="X841" s="31" t="s">
        <v>625</v>
      </c>
      <c r="Y841" s="31" t="s">
        <v>626</v>
      </c>
      <c r="Z841" s="31" t="s">
        <v>626</v>
      </c>
      <c r="AA841" s="31" t="s">
        <v>625</v>
      </c>
      <c r="AB841" s="31" t="s">
        <v>627</v>
      </c>
      <c r="AC841" s="31" t="s">
        <v>628</v>
      </c>
      <c r="AD841" s="33" t="s">
        <v>629</v>
      </c>
    </row>
    <row r="842" spans="1:30" x14ac:dyDescent="0.3">
      <c r="A842" s="34"/>
      <c r="B842" s="35"/>
      <c r="C842" s="25" t="s">
        <v>630</v>
      </c>
      <c r="D842" s="25" t="s">
        <v>158</v>
      </c>
      <c r="E842" s="25" t="s">
        <v>631</v>
      </c>
      <c r="F842" s="25" t="s">
        <v>632</v>
      </c>
      <c r="G842" s="25" t="s">
        <v>633</v>
      </c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6"/>
    </row>
    <row r="843" spans="1:30" x14ac:dyDescent="0.3">
      <c r="A843" s="34"/>
      <c r="B843" s="35"/>
      <c r="C843" s="25" t="s">
        <v>642</v>
      </c>
      <c r="D843" s="25" t="s">
        <v>54</v>
      </c>
      <c r="E843" s="25" t="s">
        <v>725</v>
      </c>
      <c r="F843" s="25" t="s">
        <v>692</v>
      </c>
      <c r="G843" s="25" t="s">
        <v>633</v>
      </c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6"/>
    </row>
    <row r="844" spans="1:30" x14ac:dyDescent="0.3">
      <c r="A844" s="34"/>
      <c r="B844" s="37"/>
      <c r="C844" s="25" t="s">
        <v>645</v>
      </c>
      <c r="D844" s="25" t="s">
        <v>160</v>
      </c>
      <c r="E844" s="25" t="s">
        <v>638</v>
      </c>
      <c r="F844" s="25" t="s">
        <v>639</v>
      </c>
      <c r="G844" s="25" t="s">
        <v>633</v>
      </c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6"/>
    </row>
    <row r="845" spans="1:30" x14ac:dyDescent="0.3">
      <c r="A845" s="34"/>
      <c r="B845" s="25" t="s">
        <v>852</v>
      </c>
      <c r="C845" s="25" t="s">
        <v>630</v>
      </c>
      <c r="D845" s="25" t="s">
        <v>158</v>
      </c>
      <c r="E845" s="25" t="s">
        <v>631</v>
      </c>
      <c r="F845" s="25" t="s">
        <v>632</v>
      </c>
      <c r="G845" s="25" t="s">
        <v>650</v>
      </c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6"/>
    </row>
    <row r="846" spans="1:30" x14ac:dyDescent="0.3">
      <c r="A846" s="34"/>
      <c r="B846" s="25" t="s">
        <v>957</v>
      </c>
      <c r="C846" s="25" t="s">
        <v>637</v>
      </c>
      <c r="D846" s="25" t="s">
        <v>160</v>
      </c>
      <c r="E846" s="25" t="s">
        <v>638</v>
      </c>
      <c r="F846" s="25" t="s">
        <v>639</v>
      </c>
      <c r="G846" s="25" t="s">
        <v>650</v>
      </c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6"/>
    </row>
    <row r="847" spans="1:30" ht="15" thickBot="1" x14ac:dyDescent="0.35">
      <c r="A847" s="38"/>
      <c r="B847" s="39" t="s">
        <v>998</v>
      </c>
      <c r="C847" s="39" t="s">
        <v>630</v>
      </c>
      <c r="D847" s="39" t="s">
        <v>54</v>
      </c>
      <c r="E847" s="39" t="s">
        <v>725</v>
      </c>
      <c r="F847" s="39" t="s">
        <v>692</v>
      </c>
      <c r="G847" s="39" t="s">
        <v>650</v>
      </c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1"/>
    </row>
    <row r="848" spans="1:30" x14ac:dyDescent="0.3">
      <c r="A848" s="30" t="s">
        <v>178</v>
      </c>
      <c r="B848" s="31" t="s">
        <v>1053</v>
      </c>
      <c r="C848" s="32" t="s">
        <v>620</v>
      </c>
      <c r="D848" s="32" t="s">
        <v>179</v>
      </c>
      <c r="E848" s="32" t="s">
        <v>621</v>
      </c>
      <c r="F848" s="32"/>
      <c r="G848" s="32" t="s">
        <v>622</v>
      </c>
      <c r="H848" s="31" t="s">
        <v>772</v>
      </c>
      <c r="I848" s="31">
        <v>26</v>
      </c>
      <c r="J848" s="31">
        <v>13</v>
      </c>
      <c r="K848" s="31" t="s">
        <v>105</v>
      </c>
      <c r="L848" s="31" t="s">
        <v>624</v>
      </c>
      <c r="M848" s="31" t="s">
        <v>624</v>
      </c>
      <c r="N848" s="31" t="s">
        <v>624</v>
      </c>
      <c r="O848" s="31" t="s">
        <v>624</v>
      </c>
      <c r="P848" s="31" t="s">
        <v>624</v>
      </c>
      <c r="Q848" s="31" t="s">
        <v>624</v>
      </c>
      <c r="R848" s="31" t="s">
        <v>625</v>
      </c>
      <c r="S848" s="31" t="s">
        <v>625</v>
      </c>
      <c r="T848" s="31" t="s">
        <v>625</v>
      </c>
      <c r="U848" s="31" t="s">
        <v>625</v>
      </c>
      <c r="V848" s="31" t="s">
        <v>703</v>
      </c>
      <c r="W848" s="31" t="s">
        <v>625</v>
      </c>
      <c r="X848" s="31" t="s">
        <v>625</v>
      </c>
      <c r="Y848" s="31" t="s">
        <v>625</v>
      </c>
      <c r="Z848" s="31" t="s">
        <v>626</v>
      </c>
      <c r="AA848" s="31" t="s">
        <v>625</v>
      </c>
      <c r="AB848" s="31" t="s">
        <v>627</v>
      </c>
      <c r="AC848" s="31" t="s">
        <v>992</v>
      </c>
      <c r="AD848" s="33" t="s">
        <v>775</v>
      </c>
    </row>
    <row r="849" spans="1:30" x14ac:dyDescent="0.3">
      <c r="A849" s="34"/>
      <c r="B849" s="35"/>
      <c r="C849" s="25" t="s">
        <v>652</v>
      </c>
      <c r="D849" s="25" t="s">
        <v>180</v>
      </c>
      <c r="E849" s="25" t="s">
        <v>725</v>
      </c>
      <c r="F849" s="25" t="s">
        <v>724</v>
      </c>
      <c r="G849" s="25" t="s">
        <v>633</v>
      </c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6"/>
    </row>
    <row r="850" spans="1:30" x14ac:dyDescent="0.3">
      <c r="A850" s="34"/>
      <c r="B850" s="35"/>
      <c r="C850" s="25" t="s">
        <v>630</v>
      </c>
      <c r="D850" s="25" t="s">
        <v>181</v>
      </c>
      <c r="E850" s="25" t="s">
        <v>631</v>
      </c>
      <c r="F850" s="25" t="s">
        <v>632</v>
      </c>
      <c r="G850" s="25" t="s">
        <v>633</v>
      </c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6"/>
    </row>
    <row r="851" spans="1:30" x14ac:dyDescent="0.3">
      <c r="A851" s="34"/>
      <c r="B851" s="35"/>
      <c r="C851" s="25" t="s">
        <v>637</v>
      </c>
      <c r="D851" s="25" t="s">
        <v>182</v>
      </c>
      <c r="E851" s="25" t="s">
        <v>638</v>
      </c>
      <c r="F851" s="25" t="s">
        <v>639</v>
      </c>
      <c r="G851" s="25" t="s">
        <v>633</v>
      </c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6"/>
    </row>
    <row r="852" spans="1:30" x14ac:dyDescent="0.3">
      <c r="A852" s="34"/>
      <c r="B852" s="37"/>
      <c r="C852" s="25" t="s">
        <v>645</v>
      </c>
      <c r="D852" s="25" t="s">
        <v>127</v>
      </c>
      <c r="E852" s="25" t="s">
        <v>638</v>
      </c>
      <c r="F852" s="25" t="s">
        <v>639</v>
      </c>
      <c r="G852" s="25" t="s">
        <v>633</v>
      </c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6"/>
    </row>
    <row r="853" spans="1:30" x14ac:dyDescent="0.3">
      <c r="A853" s="34"/>
      <c r="B853" s="25" t="s">
        <v>626</v>
      </c>
      <c r="C853" s="25" t="s">
        <v>626</v>
      </c>
      <c r="D853" s="25" t="s">
        <v>183</v>
      </c>
      <c r="E853" s="25" t="s">
        <v>707</v>
      </c>
      <c r="F853" s="25" t="s">
        <v>936</v>
      </c>
      <c r="G853" s="25" t="s">
        <v>650</v>
      </c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6"/>
    </row>
    <row r="854" spans="1:30" x14ac:dyDescent="0.3">
      <c r="A854" s="34"/>
      <c r="B854" s="25" t="s">
        <v>744</v>
      </c>
      <c r="C854" s="25" t="s">
        <v>637</v>
      </c>
      <c r="D854" s="25" t="s">
        <v>184</v>
      </c>
      <c r="E854" s="25" t="s">
        <v>621</v>
      </c>
      <c r="F854" s="25" t="s">
        <v>653</v>
      </c>
      <c r="G854" s="25" t="s">
        <v>650</v>
      </c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6"/>
    </row>
    <row r="855" spans="1:30" x14ac:dyDescent="0.3">
      <c r="A855" s="34"/>
      <c r="B855" s="25" t="s">
        <v>834</v>
      </c>
      <c r="C855" s="25" t="s">
        <v>652</v>
      </c>
      <c r="D855" s="25" t="s">
        <v>181</v>
      </c>
      <c r="E855" s="25" t="s">
        <v>631</v>
      </c>
      <c r="F855" s="25" t="s">
        <v>632</v>
      </c>
      <c r="G855" s="25" t="s">
        <v>650</v>
      </c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6"/>
    </row>
    <row r="856" spans="1:30" x14ac:dyDescent="0.3">
      <c r="A856" s="34"/>
      <c r="B856" s="25" t="s">
        <v>806</v>
      </c>
      <c r="C856" s="25" t="s">
        <v>640</v>
      </c>
      <c r="D856" s="25" t="s">
        <v>127</v>
      </c>
      <c r="E856" s="25" t="s">
        <v>638</v>
      </c>
      <c r="F856" s="25" t="s">
        <v>639</v>
      </c>
      <c r="G856" s="25" t="s">
        <v>650</v>
      </c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6"/>
    </row>
    <row r="857" spans="1:30" x14ac:dyDescent="0.3">
      <c r="A857" s="34"/>
      <c r="B857" s="25" t="s">
        <v>966</v>
      </c>
      <c r="C857" s="25" t="s">
        <v>652</v>
      </c>
      <c r="D857" s="25" t="s">
        <v>182</v>
      </c>
      <c r="E857" s="25" t="s">
        <v>638</v>
      </c>
      <c r="F857" s="25" t="s">
        <v>639</v>
      </c>
      <c r="G857" s="25" t="s">
        <v>650</v>
      </c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6"/>
    </row>
    <row r="858" spans="1:30" ht="15" thickBot="1" x14ac:dyDescent="0.35">
      <c r="A858" s="38"/>
      <c r="B858" s="39" t="s">
        <v>737</v>
      </c>
      <c r="C858" s="39" t="s">
        <v>652</v>
      </c>
      <c r="D858" s="39" t="s">
        <v>180</v>
      </c>
      <c r="E858" s="39" t="s">
        <v>725</v>
      </c>
      <c r="F858" s="39" t="s">
        <v>724</v>
      </c>
      <c r="G858" s="39" t="s">
        <v>650</v>
      </c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1"/>
    </row>
    <row r="859" spans="1:30" x14ac:dyDescent="0.3">
      <c r="A859" s="30" t="s">
        <v>156</v>
      </c>
      <c r="B859" s="31" t="s">
        <v>1054</v>
      </c>
      <c r="C859" s="32" t="s">
        <v>620</v>
      </c>
      <c r="D859" s="32" t="s">
        <v>157</v>
      </c>
      <c r="E859" s="32" t="s">
        <v>621</v>
      </c>
      <c r="F859" s="32"/>
      <c r="G859" s="32" t="s">
        <v>622</v>
      </c>
      <c r="H859" s="31" t="s">
        <v>623</v>
      </c>
      <c r="I859" s="31">
        <v>23</v>
      </c>
      <c r="J859" s="31">
        <v>12</v>
      </c>
      <c r="K859" s="31" t="s">
        <v>105</v>
      </c>
      <c r="L859" s="31" t="s">
        <v>624</v>
      </c>
      <c r="M859" s="31" t="s">
        <v>624</v>
      </c>
      <c r="N859" s="31" t="s">
        <v>624</v>
      </c>
      <c r="O859" s="31" t="s">
        <v>624</v>
      </c>
      <c r="P859" s="31" t="s">
        <v>624</v>
      </c>
      <c r="Q859" s="31" t="s">
        <v>624</v>
      </c>
      <c r="R859" s="31" t="s">
        <v>625</v>
      </c>
      <c r="S859" s="31" t="s">
        <v>625</v>
      </c>
      <c r="T859" s="31" t="s">
        <v>625</v>
      </c>
      <c r="U859" s="31" t="s">
        <v>625</v>
      </c>
      <c r="V859" s="31" t="s">
        <v>626</v>
      </c>
      <c r="W859" s="31" t="s">
        <v>625</v>
      </c>
      <c r="X859" s="31" t="s">
        <v>625</v>
      </c>
      <c r="Y859" s="31" t="s">
        <v>626</v>
      </c>
      <c r="Z859" s="31" t="s">
        <v>626</v>
      </c>
      <c r="AA859" s="31" t="s">
        <v>625</v>
      </c>
      <c r="AB859" s="31" t="s">
        <v>627</v>
      </c>
      <c r="AC859" s="31" t="s">
        <v>628</v>
      </c>
      <c r="AD859" s="33" t="s">
        <v>629</v>
      </c>
    </row>
    <row r="860" spans="1:30" x14ac:dyDescent="0.3">
      <c r="A860" s="34"/>
      <c r="B860" s="35"/>
      <c r="C860" s="25" t="s">
        <v>630</v>
      </c>
      <c r="D860" s="25" t="s">
        <v>158</v>
      </c>
      <c r="E860" s="25" t="s">
        <v>631</v>
      </c>
      <c r="F860" s="25" t="s">
        <v>632</v>
      </c>
      <c r="G860" s="25" t="s">
        <v>633</v>
      </c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6"/>
    </row>
    <row r="861" spans="1:30" x14ac:dyDescent="0.3">
      <c r="A861" s="34"/>
      <c r="B861" s="35"/>
      <c r="C861" s="25" t="s">
        <v>634</v>
      </c>
      <c r="D861" s="25" t="s">
        <v>159</v>
      </c>
      <c r="E861" s="25" t="s">
        <v>641</v>
      </c>
      <c r="F861" s="25" t="s">
        <v>632</v>
      </c>
      <c r="G861" s="25" t="s">
        <v>633</v>
      </c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6"/>
    </row>
    <row r="862" spans="1:30" x14ac:dyDescent="0.3">
      <c r="A862" s="34"/>
      <c r="B862" s="37"/>
      <c r="C862" s="25" t="s">
        <v>645</v>
      </c>
      <c r="D862" s="25" t="s">
        <v>160</v>
      </c>
      <c r="E862" s="25" t="s">
        <v>638</v>
      </c>
      <c r="F862" s="25" t="s">
        <v>639</v>
      </c>
      <c r="G862" s="25" t="s">
        <v>633</v>
      </c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6"/>
    </row>
    <row r="863" spans="1:30" x14ac:dyDescent="0.3">
      <c r="A863" s="34"/>
      <c r="B863" s="25" t="s">
        <v>626</v>
      </c>
      <c r="C863" s="25" t="s">
        <v>626</v>
      </c>
      <c r="D863" s="25" t="s">
        <v>161</v>
      </c>
      <c r="E863" s="25" t="s">
        <v>707</v>
      </c>
      <c r="F863" s="25" t="s">
        <v>936</v>
      </c>
      <c r="G863" s="25" t="s">
        <v>650</v>
      </c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6"/>
    </row>
    <row r="864" spans="1:30" x14ac:dyDescent="0.3">
      <c r="A864" s="34"/>
      <c r="B864" s="25" t="s">
        <v>843</v>
      </c>
      <c r="C864" s="25" t="s">
        <v>637</v>
      </c>
      <c r="D864" s="25" t="s">
        <v>70</v>
      </c>
      <c r="E864" s="25" t="s">
        <v>621</v>
      </c>
      <c r="F864" s="25" t="s">
        <v>653</v>
      </c>
      <c r="G864" s="25" t="s">
        <v>650</v>
      </c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6"/>
    </row>
    <row r="865" spans="1:30" x14ac:dyDescent="0.3">
      <c r="A865" s="34"/>
      <c r="B865" s="25" t="s">
        <v>852</v>
      </c>
      <c r="C865" s="25" t="s">
        <v>652</v>
      </c>
      <c r="D865" s="25" t="s">
        <v>158</v>
      </c>
      <c r="E865" s="25" t="s">
        <v>631</v>
      </c>
      <c r="F865" s="25" t="s">
        <v>632</v>
      </c>
      <c r="G865" s="25" t="s">
        <v>650</v>
      </c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6"/>
    </row>
    <row r="866" spans="1:30" x14ac:dyDescent="0.3">
      <c r="A866" s="34"/>
      <c r="B866" s="25" t="s">
        <v>733</v>
      </c>
      <c r="C866" s="25" t="s">
        <v>640</v>
      </c>
      <c r="D866" s="25" t="s">
        <v>159</v>
      </c>
      <c r="E866" s="25" t="s">
        <v>641</v>
      </c>
      <c r="F866" s="25" t="s">
        <v>632</v>
      </c>
      <c r="G866" s="25" t="s">
        <v>650</v>
      </c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6"/>
    </row>
    <row r="867" spans="1:30" x14ac:dyDescent="0.3">
      <c r="A867" s="34"/>
      <c r="B867" s="25" t="s">
        <v>957</v>
      </c>
      <c r="C867" s="25" t="s">
        <v>652</v>
      </c>
      <c r="D867" s="25" t="s">
        <v>160</v>
      </c>
      <c r="E867" s="25" t="s">
        <v>638</v>
      </c>
      <c r="F867" s="25" t="s">
        <v>639</v>
      </c>
      <c r="G867" s="25" t="s">
        <v>650</v>
      </c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6"/>
    </row>
    <row r="868" spans="1:30" ht="15" thickBot="1" x14ac:dyDescent="0.35">
      <c r="A868" s="38"/>
      <c r="B868" s="39" t="s">
        <v>1030</v>
      </c>
      <c r="C868" s="39" t="s">
        <v>634</v>
      </c>
      <c r="D868" s="39" t="s">
        <v>153</v>
      </c>
      <c r="E868" s="39" t="s">
        <v>760</v>
      </c>
      <c r="F868" s="39" t="s">
        <v>660</v>
      </c>
      <c r="G868" s="39" t="s">
        <v>650</v>
      </c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1"/>
    </row>
    <row r="869" spans="1:30" x14ac:dyDescent="0.3">
      <c r="A869" s="30" t="s">
        <v>85</v>
      </c>
      <c r="B869" s="31" t="s">
        <v>1055</v>
      </c>
      <c r="C869" s="32" t="s">
        <v>620</v>
      </c>
      <c r="D869" s="32" t="s">
        <v>86</v>
      </c>
      <c r="E869" s="32" t="s">
        <v>621</v>
      </c>
      <c r="F869" s="32"/>
      <c r="G869" s="32" t="s">
        <v>622</v>
      </c>
      <c r="H869" s="31" t="s">
        <v>623</v>
      </c>
      <c r="I869" s="31">
        <v>6</v>
      </c>
      <c r="J869" s="31" t="s">
        <v>626</v>
      </c>
      <c r="K869" s="31" t="s">
        <v>105</v>
      </c>
      <c r="L869" s="31" t="s">
        <v>624</v>
      </c>
      <c r="M869" s="31" t="s">
        <v>624</v>
      </c>
      <c r="N869" s="31" t="s">
        <v>624</v>
      </c>
      <c r="O869" s="31" t="s">
        <v>624</v>
      </c>
      <c r="P869" s="31" t="s">
        <v>624</v>
      </c>
      <c r="Q869" s="31" t="s">
        <v>624</v>
      </c>
      <c r="R869" s="31" t="s">
        <v>625</v>
      </c>
      <c r="S869" s="31" t="s">
        <v>625</v>
      </c>
      <c r="T869" s="31" t="s">
        <v>625</v>
      </c>
      <c r="U869" s="31" t="s">
        <v>625</v>
      </c>
      <c r="V869" s="31" t="s">
        <v>626</v>
      </c>
      <c r="W869" s="31" t="s">
        <v>625</v>
      </c>
      <c r="X869" s="31" t="s">
        <v>625</v>
      </c>
      <c r="Y869" s="31" t="s">
        <v>626</v>
      </c>
      <c r="Z869" s="31" t="s">
        <v>626</v>
      </c>
      <c r="AA869" s="31" t="s">
        <v>625</v>
      </c>
      <c r="AB869" s="31" t="s">
        <v>627</v>
      </c>
      <c r="AC869" s="31" t="s">
        <v>628</v>
      </c>
      <c r="AD869" s="33" t="s">
        <v>629</v>
      </c>
    </row>
    <row r="870" spans="1:30" x14ac:dyDescent="0.3">
      <c r="A870" s="34"/>
      <c r="B870" s="35"/>
      <c r="C870" s="25" t="s">
        <v>630</v>
      </c>
      <c r="D870" s="25" t="s">
        <v>87</v>
      </c>
      <c r="E870" s="25" t="s">
        <v>725</v>
      </c>
      <c r="F870" s="25" t="s">
        <v>689</v>
      </c>
      <c r="G870" s="25" t="s">
        <v>633</v>
      </c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6"/>
    </row>
    <row r="871" spans="1:30" x14ac:dyDescent="0.3">
      <c r="A871" s="34"/>
      <c r="B871" s="35"/>
      <c r="C871" s="25" t="s">
        <v>634</v>
      </c>
      <c r="D871" s="25" t="s">
        <v>88</v>
      </c>
      <c r="E871" s="25" t="s">
        <v>752</v>
      </c>
      <c r="F871" s="25" t="s">
        <v>724</v>
      </c>
      <c r="G871" s="25" t="s">
        <v>633</v>
      </c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6"/>
    </row>
    <row r="872" spans="1:30" x14ac:dyDescent="0.3">
      <c r="A872" s="34"/>
      <c r="B872" s="35"/>
      <c r="C872" s="25" t="s">
        <v>637</v>
      </c>
      <c r="D872" s="25" t="s">
        <v>89</v>
      </c>
      <c r="E872" s="25" t="s">
        <v>631</v>
      </c>
      <c r="F872" s="25" t="s">
        <v>632</v>
      </c>
      <c r="G872" s="25" t="s">
        <v>633</v>
      </c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6"/>
    </row>
    <row r="873" spans="1:30" x14ac:dyDescent="0.3">
      <c r="A873" s="34"/>
      <c r="B873" s="35"/>
      <c r="C873" s="25" t="s">
        <v>640</v>
      </c>
      <c r="D873" s="25" t="s">
        <v>90</v>
      </c>
      <c r="E873" s="25" t="s">
        <v>720</v>
      </c>
      <c r="F873" s="25" t="s">
        <v>869</v>
      </c>
      <c r="G873" s="25" t="s">
        <v>633</v>
      </c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6"/>
    </row>
    <row r="874" spans="1:30" x14ac:dyDescent="0.3">
      <c r="A874" s="34"/>
      <c r="B874" s="35"/>
      <c r="C874" s="25" t="s">
        <v>642</v>
      </c>
      <c r="D874" s="25" t="s">
        <v>91</v>
      </c>
      <c r="E874" s="25" t="s">
        <v>638</v>
      </c>
      <c r="F874" s="25" t="s">
        <v>639</v>
      </c>
      <c r="G874" s="25" t="s">
        <v>633</v>
      </c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6"/>
    </row>
    <row r="875" spans="1:30" x14ac:dyDescent="0.3">
      <c r="A875" s="34"/>
      <c r="B875" s="37"/>
      <c r="C875" s="25" t="s">
        <v>645</v>
      </c>
      <c r="D875" s="25" t="s">
        <v>92</v>
      </c>
      <c r="E875" s="25" t="s">
        <v>646</v>
      </c>
      <c r="F875" s="25" t="s">
        <v>647</v>
      </c>
      <c r="G875" s="25" t="s">
        <v>633</v>
      </c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6"/>
    </row>
    <row r="876" spans="1:30" x14ac:dyDescent="0.3">
      <c r="A876" s="34"/>
      <c r="B876" s="25" t="s">
        <v>626</v>
      </c>
      <c r="C876" s="25" t="s">
        <v>626</v>
      </c>
      <c r="D876" s="25" t="s">
        <v>93</v>
      </c>
      <c r="E876" s="25" t="s">
        <v>648</v>
      </c>
      <c r="F876" s="25" t="s">
        <v>756</v>
      </c>
      <c r="G876" s="25" t="s">
        <v>650</v>
      </c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6"/>
    </row>
    <row r="877" spans="1:30" x14ac:dyDescent="0.3">
      <c r="A877" s="34"/>
      <c r="B877" s="25" t="s">
        <v>851</v>
      </c>
      <c r="C877" s="25" t="s">
        <v>637</v>
      </c>
      <c r="D877" s="25" t="s">
        <v>59</v>
      </c>
      <c r="E877" s="25" t="s">
        <v>621</v>
      </c>
      <c r="F877" s="25" t="s">
        <v>653</v>
      </c>
      <c r="G877" s="25" t="s">
        <v>650</v>
      </c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6"/>
    </row>
    <row r="878" spans="1:30" x14ac:dyDescent="0.3">
      <c r="A878" s="34"/>
      <c r="B878" s="25" t="s">
        <v>1034</v>
      </c>
      <c r="C878" s="25" t="s">
        <v>630</v>
      </c>
      <c r="D878" s="25" t="s">
        <v>89</v>
      </c>
      <c r="E878" s="25" t="s">
        <v>631</v>
      </c>
      <c r="F878" s="25" t="s">
        <v>632</v>
      </c>
      <c r="G878" s="25" t="s">
        <v>650</v>
      </c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6"/>
    </row>
    <row r="879" spans="1:30" x14ac:dyDescent="0.3">
      <c r="A879" s="34"/>
      <c r="B879" s="25" t="s">
        <v>684</v>
      </c>
      <c r="C879" s="25" t="s">
        <v>630</v>
      </c>
      <c r="D879" s="25" t="s">
        <v>91</v>
      </c>
      <c r="E879" s="25" t="s">
        <v>638</v>
      </c>
      <c r="F879" s="25" t="s">
        <v>639</v>
      </c>
      <c r="G879" s="25" t="s">
        <v>650</v>
      </c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6"/>
    </row>
    <row r="880" spans="1:30" x14ac:dyDescent="0.3">
      <c r="A880" s="34"/>
      <c r="B880" s="25" t="s">
        <v>976</v>
      </c>
      <c r="C880" s="25" t="s">
        <v>652</v>
      </c>
      <c r="D880" s="25" t="s">
        <v>88</v>
      </c>
      <c r="E880" s="25" t="s">
        <v>752</v>
      </c>
      <c r="F880" s="25" t="s">
        <v>724</v>
      </c>
      <c r="G880" s="25" t="s">
        <v>650</v>
      </c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6"/>
    </row>
    <row r="881" spans="1:30" ht="15" thickBot="1" x14ac:dyDescent="0.35">
      <c r="A881" s="38"/>
      <c r="B881" s="39" t="s">
        <v>994</v>
      </c>
      <c r="C881" s="39" t="s">
        <v>652</v>
      </c>
      <c r="D881" s="39" t="s">
        <v>87</v>
      </c>
      <c r="E881" s="39" t="s">
        <v>725</v>
      </c>
      <c r="F881" s="39" t="s">
        <v>689</v>
      </c>
      <c r="G881" s="39" t="s">
        <v>650</v>
      </c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1"/>
    </row>
    <row r="882" spans="1:30" x14ac:dyDescent="0.3">
      <c r="A882" s="30" t="s">
        <v>74</v>
      </c>
      <c r="B882" s="31" t="s">
        <v>1056</v>
      </c>
      <c r="C882" s="32" t="s">
        <v>620</v>
      </c>
      <c r="D882" s="32" t="s">
        <v>75</v>
      </c>
      <c r="E882" s="32" t="s">
        <v>621</v>
      </c>
      <c r="F882" s="32"/>
      <c r="G882" s="32" t="s">
        <v>622</v>
      </c>
      <c r="H882" s="31" t="s">
        <v>623</v>
      </c>
      <c r="I882" s="31">
        <v>5</v>
      </c>
      <c r="J882" s="31" t="s">
        <v>626</v>
      </c>
      <c r="K882" s="31" t="s">
        <v>105</v>
      </c>
      <c r="L882" s="31" t="s">
        <v>624</v>
      </c>
      <c r="M882" s="31" t="s">
        <v>624</v>
      </c>
      <c r="N882" s="31" t="s">
        <v>624</v>
      </c>
      <c r="O882" s="31" t="s">
        <v>624</v>
      </c>
      <c r="P882" s="31" t="s">
        <v>624</v>
      </c>
      <c r="Q882" s="31" t="s">
        <v>624</v>
      </c>
      <c r="R882" s="31" t="s">
        <v>625</v>
      </c>
      <c r="S882" s="31" t="s">
        <v>625</v>
      </c>
      <c r="T882" s="31" t="s">
        <v>625</v>
      </c>
      <c r="U882" s="31" t="s">
        <v>625</v>
      </c>
      <c r="V882" s="31" t="s">
        <v>626</v>
      </c>
      <c r="W882" s="31" t="s">
        <v>625</v>
      </c>
      <c r="X882" s="31" t="s">
        <v>625</v>
      </c>
      <c r="Y882" s="31" t="s">
        <v>626</v>
      </c>
      <c r="Z882" s="31" t="s">
        <v>626</v>
      </c>
      <c r="AA882" s="31" t="s">
        <v>625</v>
      </c>
      <c r="AB882" s="31" t="s">
        <v>627</v>
      </c>
      <c r="AC882" s="31" t="s">
        <v>628</v>
      </c>
      <c r="AD882" s="33" t="s">
        <v>629</v>
      </c>
    </row>
    <row r="883" spans="1:30" x14ac:dyDescent="0.3">
      <c r="A883" s="34"/>
      <c r="B883" s="35"/>
      <c r="C883" s="25" t="s">
        <v>630</v>
      </c>
      <c r="D883" s="25" t="s">
        <v>76</v>
      </c>
      <c r="E883" s="25" t="s">
        <v>752</v>
      </c>
      <c r="F883" s="25" t="s">
        <v>763</v>
      </c>
      <c r="G883" s="25" t="s">
        <v>633</v>
      </c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6"/>
    </row>
    <row r="884" spans="1:30" x14ac:dyDescent="0.3">
      <c r="A884" s="34"/>
      <c r="B884" s="35"/>
      <c r="C884" s="25" t="s">
        <v>634</v>
      </c>
      <c r="D884" s="25" t="s">
        <v>77</v>
      </c>
      <c r="E884" s="25" t="s">
        <v>631</v>
      </c>
      <c r="F884" s="25" t="s">
        <v>632</v>
      </c>
      <c r="G884" s="25" t="s">
        <v>633</v>
      </c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6"/>
    </row>
    <row r="885" spans="1:30" x14ac:dyDescent="0.3">
      <c r="A885" s="34"/>
      <c r="B885" s="35"/>
      <c r="C885" s="25" t="s">
        <v>637</v>
      </c>
      <c r="D885" s="25" t="s">
        <v>78</v>
      </c>
      <c r="E885" s="25" t="s">
        <v>631</v>
      </c>
      <c r="F885" s="25" t="s">
        <v>632</v>
      </c>
      <c r="G885" s="25" t="s">
        <v>633</v>
      </c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6"/>
    </row>
    <row r="886" spans="1:30" x14ac:dyDescent="0.3">
      <c r="A886" s="34"/>
      <c r="B886" s="35"/>
      <c r="C886" s="25" t="s">
        <v>642</v>
      </c>
      <c r="D886" s="25" t="s">
        <v>79</v>
      </c>
      <c r="E886" s="25" t="s">
        <v>638</v>
      </c>
      <c r="F886" s="25" t="s">
        <v>639</v>
      </c>
      <c r="G886" s="25" t="s">
        <v>633</v>
      </c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6"/>
    </row>
    <row r="887" spans="1:30" x14ac:dyDescent="0.3">
      <c r="A887" s="34"/>
      <c r="B887" s="37"/>
      <c r="C887" s="25" t="s">
        <v>645</v>
      </c>
      <c r="D887" s="25" t="s">
        <v>80</v>
      </c>
      <c r="E887" s="25" t="s">
        <v>646</v>
      </c>
      <c r="F887" s="25" t="s">
        <v>647</v>
      </c>
      <c r="G887" s="25" t="s">
        <v>633</v>
      </c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6"/>
    </row>
    <row r="888" spans="1:30" x14ac:dyDescent="0.3">
      <c r="A888" s="34"/>
      <c r="B888" s="25" t="s">
        <v>626</v>
      </c>
      <c r="C888" s="25" t="s">
        <v>626</v>
      </c>
      <c r="D888" s="25" t="s">
        <v>1057</v>
      </c>
      <c r="E888" s="25" t="s">
        <v>666</v>
      </c>
      <c r="F888" s="25" t="s">
        <v>667</v>
      </c>
      <c r="G888" s="25" t="s">
        <v>650</v>
      </c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6"/>
    </row>
    <row r="889" spans="1:30" x14ac:dyDescent="0.3">
      <c r="A889" s="34"/>
      <c r="B889" s="25" t="s">
        <v>626</v>
      </c>
      <c r="C889" s="25" t="s">
        <v>626</v>
      </c>
      <c r="D889" s="25" t="s">
        <v>1058</v>
      </c>
      <c r="E889" s="25" t="s">
        <v>648</v>
      </c>
      <c r="F889" s="25" t="s">
        <v>756</v>
      </c>
      <c r="G889" s="25" t="s">
        <v>650</v>
      </c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6"/>
    </row>
    <row r="890" spans="1:30" x14ac:dyDescent="0.3">
      <c r="A890" s="34"/>
      <c r="B890" s="25" t="s">
        <v>860</v>
      </c>
      <c r="C890" s="25" t="s">
        <v>637</v>
      </c>
      <c r="D890" s="25" t="s">
        <v>82</v>
      </c>
      <c r="E890" s="25" t="s">
        <v>621</v>
      </c>
      <c r="F890" s="25" t="s">
        <v>653</v>
      </c>
      <c r="G890" s="25" t="s">
        <v>650</v>
      </c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6"/>
    </row>
    <row r="891" spans="1:30" x14ac:dyDescent="0.3">
      <c r="A891" s="34"/>
      <c r="B891" s="25" t="s">
        <v>913</v>
      </c>
      <c r="C891" s="25" t="s">
        <v>637</v>
      </c>
      <c r="D891" s="25" t="s">
        <v>77</v>
      </c>
      <c r="E891" s="25" t="s">
        <v>631</v>
      </c>
      <c r="F891" s="25" t="s">
        <v>632</v>
      </c>
      <c r="G891" s="25" t="s">
        <v>650</v>
      </c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6"/>
    </row>
    <row r="892" spans="1:30" x14ac:dyDescent="0.3">
      <c r="A892" s="34"/>
      <c r="B892" s="25" t="s">
        <v>1036</v>
      </c>
      <c r="C892" s="25" t="s">
        <v>630</v>
      </c>
      <c r="D892" s="25" t="s">
        <v>78</v>
      </c>
      <c r="E892" s="25" t="s">
        <v>631</v>
      </c>
      <c r="F892" s="25" t="s">
        <v>632</v>
      </c>
      <c r="G892" s="25" t="s">
        <v>650</v>
      </c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6"/>
    </row>
    <row r="893" spans="1:30" x14ac:dyDescent="0.3">
      <c r="A893" s="34"/>
      <c r="B893" s="25" t="s">
        <v>698</v>
      </c>
      <c r="C893" s="25" t="s">
        <v>652</v>
      </c>
      <c r="D893" s="25" t="s">
        <v>79</v>
      </c>
      <c r="E893" s="25" t="s">
        <v>638</v>
      </c>
      <c r="F893" s="25" t="s">
        <v>639</v>
      </c>
      <c r="G893" s="25" t="s">
        <v>650</v>
      </c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6"/>
    </row>
    <row r="894" spans="1:30" x14ac:dyDescent="0.3">
      <c r="A894" s="34"/>
      <c r="B894" s="25" t="s">
        <v>768</v>
      </c>
      <c r="C894" s="25" t="s">
        <v>634</v>
      </c>
      <c r="D894" s="25" t="s">
        <v>76</v>
      </c>
      <c r="E894" s="25" t="s">
        <v>752</v>
      </c>
      <c r="F894" s="25" t="s">
        <v>763</v>
      </c>
      <c r="G894" s="25" t="s">
        <v>650</v>
      </c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6"/>
    </row>
    <row r="895" spans="1:30" ht="15" thickBot="1" x14ac:dyDescent="0.35">
      <c r="A895" s="38"/>
      <c r="B895" s="39" t="s">
        <v>990</v>
      </c>
      <c r="C895" s="39" t="s">
        <v>630</v>
      </c>
      <c r="D895" s="39" t="s">
        <v>83</v>
      </c>
      <c r="E895" s="39" t="s">
        <v>646</v>
      </c>
      <c r="F895" s="39" t="s">
        <v>864</v>
      </c>
      <c r="G895" s="39" t="s">
        <v>650</v>
      </c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1"/>
    </row>
    <row r="896" spans="1:30" x14ac:dyDescent="0.3">
      <c r="A896" s="30" t="s">
        <v>123</v>
      </c>
      <c r="B896" s="31" t="s">
        <v>1059</v>
      </c>
      <c r="C896" s="32" t="s">
        <v>620</v>
      </c>
      <c r="D896" s="32" t="s">
        <v>124</v>
      </c>
      <c r="E896" s="32" t="s">
        <v>621</v>
      </c>
      <c r="F896" s="32"/>
      <c r="G896" s="32" t="s">
        <v>622</v>
      </c>
      <c r="H896" s="31" t="s">
        <v>623</v>
      </c>
      <c r="I896" s="31">
        <v>19</v>
      </c>
      <c r="J896" s="31" t="s">
        <v>626</v>
      </c>
      <c r="K896" s="31" t="s">
        <v>105</v>
      </c>
      <c r="L896" s="31" t="s">
        <v>624</v>
      </c>
      <c r="M896" s="31" t="s">
        <v>624</v>
      </c>
      <c r="N896" s="31" t="s">
        <v>624</v>
      </c>
      <c r="O896" s="31" t="s">
        <v>624</v>
      </c>
      <c r="P896" s="31" t="s">
        <v>624</v>
      </c>
      <c r="Q896" s="31" t="s">
        <v>624</v>
      </c>
      <c r="R896" s="31" t="s">
        <v>625</v>
      </c>
      <c r="S896" s="31" t="s">
        <v>625</v>
      </c>
      <c r="T896" s="31" t="s">
        <v>625</v>
      </c>
      <c r="U896" s="31" t="s">
        <v>625</v>
      </c>
      <c r="V896" s="31" t="s">
        <v>626</v>
      </c>
      <c r="W896" s="31" t="s">
        <v>625</v>
      </c>
      <c r="X896" s="31" t="s">
        <v>625</v>
      </c>
      <c r="Y896" s="31" t="s">
        <v>626</v>
      </c>
      <c r="Z896" s="31" t="s">
        <v>626</v>
      </c>
      <c r="AA896" s="31" t="s">
        <v>625</v>
      </c>
      <c r="AB896" s="31" t="s">
        <v>627</v>
      </c>
      <c r="AC896" s="31" t="s">
        <v>628</v>
      </c>
      <c r="AD896" s="33" t="s">
        <v>629</v>
      </c>
    </row>
    <row r="897" spans="1:30" x14ac:dyDescent="0.3">
      <c r="A897" s="34"/>
      <c r="B897" s="35"/>
      <c r="C897" s="25" t="s">
        <v>652</v>
      </c>
      <c r="D897" s="126" t="s">
        <v>1293</v>
      </c>
      <c r="E897" s="25" t="s">
        <v>707</v>
      </c>
      <c r="F897" s="25" t="s">
        <v>784</v>
      </c>
      <c r="G897" s="25" t="s">
        <v>633</v>
      </c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6"/>
    </row>
    <row r="898" spans="1:30" x14ac:dyDescent="0.3">
      <c r="A898" s="34"/>
      <c r="B898" s="35"/>
      <c r="C898" s="25" t="s">
        <v>634</v>
      </c>
      <c r="D898" s="25" t="s">
        <v>126</v>
      </c>
      <c r="E898" s="25" t="s">
        <v>760</v>
      </c>
      <c r="F898" s="25" t="s">
        <v>693</v>
      </c>
      <c r="G898" s="25" t="s">
        <v>633</v>
      </c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6"/>
    </row>
    <row r="899" spans="1:30" x14ac:dyDescent="0.3">
      <c r="A899" s="34"/>
      <c r="B899" s="35"/>
      <c r="C899" s="25" t="s">
        <v>637</v>
      </c>
      <c r="D899" s="25" t="s">
        <v>97</v>
      </c>
      <c r="E899" s="25" t="s">
        <v>641</v>
      </c>
      <c r="F899" s="25" t="s">
        <v>632</v>
      </c>
      <c r="G899" s="25" t="s">
        <v>633</v>
      </c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6"/>
    </row>
    <row r="900" spans="1:30" x14ac:dyDescent="0.3">
      <c r="A900" s="34"/>
      <c r="B900" s="35"/>
      <c r="C900" s="25" t="s">
        <v>642</v>
      </c>
      <c r="D900" s="25" t="s">
        <v>127</v>
      </c>
      <c r="E900" s="25" t="s">
        <v>638</v>
      </c>
      <c r="F900" s="25" t="s">
        <v>639</v>
      </c>
      <c r="G900" s="25" t="s">
        <v>633</v>
      </c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6"/>
    </row>
    <row r="901" spans="1:30" x14ac:dyDescent="0.3">
      <c r="A901" s="34"/>
      <c r="B901" s="37"/>
      <c r="C901" s="25" t="s">
        <v>645</v>
      </c>
      <c r="D901" s="25" t="s">
        <v>128</v>
      </c>
      <c r="E901" s="25" t="s">
        <v>638</v>
      </c>
      <c r="F901" s="25" t="s">
        <v>639</v>
      </c>
      <c r="G901" s="25" t="s">
        <v>633</v>
      </c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6"/>
    </row>
    <row r="902" spans="1:30" x14ac:dyDescent="0.3">
      <c r="A902" s="34"/>
      <c r="B902" s="25" t="s">
        <v>866</v>
      </c>
      <c r="C902" s="25" t="s">
        <v>637</v>
      </c>
      <c r="D902" s="25" t="s">
        <v>129</v>
      </c>
      <c r="E902" s="25" t="s">
        <v>621</v>
      </c>
      <c r="F902" s="25" t="s">
        <v>653</v>
      </c>
      <c r="G902" s="25" t="s">
        <v>650</v>
      </c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6"/>
    </row>
    <row r="903" spans="1:30" x14ac:dyDescent="0.3">
      <c r="A903" s="34"/>
      <c r="B903" s="25" t="s">
        <v>853</v>
      </c>
      <c r="C903" s="25" t="s">
        <v>640</v>
      </c>
      <c r="D903" s="25" t="s">
        <v>97</v>
      </c>
      <c r="E903" s="25" t="s">
        <v>641</v>
      </c>
      <c r="F903" s="25" t="s">
        <v>632</v>
      </c>
      <c r="G903" s="25" t="s">
        <v>650</v>
      </c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6"/>
    </row>
    <row r="904" spans="1:30" x14ac:dyDescent="0.3">
      <c r="A904" s="34"/>
      <c r="B904" s="25" t="s">
        <v>767</v>
      </c>
      <c r="C904" s="25" t="s">
        <v>1024</v>
      </c>
      <c r="D904" s="25" t="s">
        <v>128</v>
      </c>
      <c r="E904" s="25" t="s">
        <v>638</v>
      </c>
      <c r="F904" s="25" t="s">
        <v>639</v>
      </c>
      <c r="G904" s="25" t="s">
        <v>650</v>
      </c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6"/>
    </row>
    <row r="905" spans="1:30" x14ac:dyDescent="0.3">
      <c r="A905" s="34"/>
      <c r="B905" s="25" t="s">
        <v>806</v>
      </c>
      <c r="C905" s="25" t="s">
        <v>652</v>
      </c>
      <c r="D905" s="25" t="s">
        <v>127</v>
      </c>
      <c r="E905" s="25" t="s">
        <v>638</v>
      </c>
      <c r="F905" s="25" t="s">
        <v>639</v>
      </c>
      <c r="G905" s="25" t="s">
        <v>650</v>
      </c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6"/>
    </row>
    <row r="906" spans="1:30" ht="15" thickBot="1" x14ac:dyDescent="0.35">
      <c r="A906" s="38"/>
      <c r="B906" s="39" t="s">
        <v>770</v>
      </c>
      <c r="C906" s="39" t="s">
        <v>637</v>
      </c>
      <c r="D906" s="39" t="s">
        <v>126</v>
      </c>
      <c r="E906" s="39" t="s">
        <v>760</v>
      </c>
      <c r="F906" s="39" t="s">
        <v>693</v>
      </c>
      <c r="G906" s="39" t="s">
        <v>650</v>
      </c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1"/>
    </row>
    <row r="907" spans="1:30" x14ac:dyDescent="0.3">
      <c r="A907" s="30" t="s">
        <v>95</v>
      </c>
      <c r="B907" s="31" t="s">
        <v>1060</v>
      </c>
      <c r="C907" s="32" t="s">
        <v>620</v>
      </c>
      <c r="D907" s="32" t="s">
        <v>96</v>
      </c>
      <c r="E907" s="32" t="s">
        <v>621</v>
      </c>
      <c r="F907" s="32"/>
      <c r="G907" s="32" t="s">
        <v>622</v>
      </c>
      <c r="H907" s="31" t="s">
        <v>623</v>
      </c>
      <c r="I907" s="31">
        <v>7</v>
      </c>
      <c r="J907" s="31" t="s">
        <v>626</v>
      </c>
      <c r="K907" s="31" t="s">
        <v>105</v>
      </c>
      <c r="L907" s="31" t="s">
        <v>624</v>
      </c>
      <c r="M907" s="31" t="s">
        <v>624</v>
      </c>
      <c r="N907" s="31" t="s">
        <v>624</v>
      </c>
      <c r="O907" s="31" t="s">
        <v>624</v>
      </c>
      <c r="P907" s="31" t="s">
        <v>624</v>
      </c>
      <c r="Q907" s="31" t="s">
        <v>624</v>
      </c>
      <c r="R907" s="31" t="s">
        <v>625</v>
      </c>
      <c r="S907" s="31" t="s">
        <v>625</v>
      </c>
      <c r="T907" s="31" t="s">
        <v>625</v>
      </c>
      <c r="U907" s="31" t="s">
        <v>625</v>
      </c>
      <c r="V907" s="31" t="s">
        <v>626</v>
      </c>
      <c r="W907" s="31" t="s">
        <v>625</v>
      </c>
      <c r="X907" s="31" t="s">
        <v>625</v>
      </c>
      <c r="Y907" s="31" t="s">
        <v>626</v>
      </c>
      <c r="Z907" s="31" t="s">
        <v>626</v>
      </c>
      <c r="AA907" s="31" t="s">
        <v>625</v>
      </c>
      <c r="AB907" s="31" t="s">
        <v>627</v>
      </c>
      <c r="AC907" s="31" t="s">
        <v>628</v>
      </c>
      <c r="AD907" s="33" t="s">
        <v>629</v>
      </c>
    </row>
    <row r="908" spans="1:30" x14ac:dyDescent="0.3">
      <c r="A908" s="34"/>
      <c r="B908" s="35"/>
      <c r="C908" s="25" t="s">
        <v>630</v>
      </c>
      <c r="D908" s="25" t="s">
        <v>97</v>
      </c>
      <c r="E908" s="25" t="s">
        <v>641</v>
      </c>
      <c r="F908" s="25" t="s">
        <v>632</v>
      </c>
      <c r="G908" s="25" t="s">
        <v>633</v>
      </c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6"/>
    </row>
    <row r="909" spans="1:30" x14ac:dyDescent="0.3">
      <c r="A909" s="34"/>
      <c r="B909" s="35"/>
      <c r="C909" s="25" t="s">
        <v>634</v>
      </c>
      <c r="D909" s="25" t="s">
        <v>98</v>
      </c>
      <c r="E909" s="25" t="s">
        <v>752</v>
      </c>
      <c r="F909" s="25" t="s">
        <v>823</v>
      </c>
      <c r="G909" s="25" t="s">
        <v>633</v>
      </c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6"/>
    </row>
    <row r="910" spans="1:30" x14ac:dyDescent="0.3">
      <c r="A910" s="34"/>
      <c r="B910" s="35"/>
      <c r="C910" s="25" t="s">
        <v>640</v>
      </c>
      <c r="D910" s="25" t="s">
        <v>76</v>
      </c>
      <c r="E910" s="25" t="s">
        <v>752</v>
      </c>
      <c r="F910" s="25" t="s">
        <v>763</v>
      </c>
      <c r="G910" s="25" t="s">
        <v>633</v>
      </c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6"/>
    </row>
    <row r="911" spans="1:30" x14ac:dyDescent="0.3">
      <c r="A911" s="34"/>
      <c r="B911" s="37"/>
      <c r="C911" s="25" t="s">
        <v>642</v>
      </c>
      <c r="D911" s="25" t="s">
        <v>79</v>
      </c>
      <c r="E911" s="25" t="s">
        <v>638</v>
      </c>
      <c r="F911" s="25" t="s">
        <v>639</v>
      </c>
      <c r="G911" s="25" t="s">
        <v>633</v>
      </c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6"/>
    </row>
    <row r="912" spans="1:30" x14ac:dyDescent="0.3">
      <c r="A912" s="34"/>
      <c r="B912" s="25" t="s">
        <v>626</v>
      </c>
      <c r="C912" s="25" t="s">
        <v>626</v>
      </c>
      <c r="D912" s="25" t="s">
        <v>1061</v>
      </c>
      <c r="E912" s="25" t="s">
        <v>677</v>
      </c>
      <c r="F912" s="25" t="s">
        <v>649</v>
      </c>
      <c r="G912" s="25" t="s">
        <v>650</v>
      </c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6"/>
    </row>
    <row r="913" spans="1:30" x14ac:dyDescent="0.3">
      <c r="A913" s="34"/>
      <c r="B913" s="25" t="s">
        <v>870</v>
      </c>
      <c r="C913" s="25" t="s">
        <v>637</v>
      </c>
      <c r="D913" s="25" t="s">
        <v>100</v>
      </c>
      <c r="E913" s="25" t="s">
        <v>621</v>
      </c>
      <c r="F913" s="25" t="s">
        <v>653</v>
      </c>
      <c r="G913" s="25" t="s">
        <v>650</v>
      </c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6"/>
    </row>
    <row r="914" spans="1:30" x14ac:dyDescent="0.3">
      <c r="A914" s="34"/>
      <c r="B914" s="25" t="s">
        <v>853</v>
      </c>
      <c r="C914" s="25" t="s">
        <v>634</v>
      </c>
      <c r="D914" s="25" t="s">
        <v>97</v>
      </c>
      <c r="E914" s="25" t="s">
        <v>641</v>
      </c>
      <c r="F914" s="25" t="s">
        <v>632</v>
      </c>
      <c r="G914" s="25" t="s">
        <v>650</v>
      </c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6"/>
    </row>
    <row r="915" spans="1:30" x14ac:dyDescent="0.3">
      <c r="A915" s="34"/>
      <c r="B915" s="25" t="s">
        <v>698</v>
      </c>
      <c r="C915" s="25" t="s">
        <v>640</v>
      </c>
      <c r="D915" s="25" t="s">
        <v>79</v>
      </c>
      <c r="E915" s="25" t="s">
        <v>638</v>
      </c>
      <c r="F915" s="25" t="s">
        <v>639</v>
      </c>
      <c r="G915" s="25" t="s">
        <v>650</v>
      </c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6"/>
    </row>
    <row r="916" spans="1:30" x14ac:dyDescent="0.3">
      <c r="A916" s="34"/>
      <c r="B916" s="25" t="s">
        <v>768</v>
      </c>
      <c r="C916" s="25" t="s">
        <v>640</v>
      </c>
      <c r="D916" s="25" t="s">
        <v>76</v>
      </c>
      <c r="E916" s="25" t="s">
        <v>752</v>
      </c>
      <c r="F916" s="25" t="s">
        <v>763</v>
      </c>
      <c r="G916" s="25" t="s">
        <v>650</v>
      </c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6"/>
    </row>
    <row r="917" spans="1:30" ht="15" thickBot="1" x14ac:dyDescent="0.35">
      <c r="A917" s="38"/>
      <c r="B917" s="39" t="s">
        <v>1062</v>
      </c>
      <c r="C917" s="39" t="s">
        <v>630</v>
      </c>
      <c r="D917" s="39" t="s">
        <v>98</v>
      </c>
      <c r="E917" s="39" t="s">
        <v>752</v>
      </c>
      <c r="F917" s="39" t="s">
        <v>823</v>
      </c>
      <c r="G917" s="39" t="s">
        <v>650</v>
      </c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1"/>
    </row>
    <row r="918" spans="1:30" x14ac:dyDescent="0.3">
      <c r="A918" s="30" t="s">
        <v>38</v>
      </c>
      <c r="B918" s="31" t="s">
        <v>1063</v>
      </c>
      <c r="C918" s="32" t="s">
        <v>620</v>
      </c>
      <c r="D918" s="32" t="s">
        <v>39</v>
      </c>
      <c r="E918" s="32" t="s">
        <v>621</v>
      </c>
      <c r="F918" s="32"/>
      <c r="G918" s="32" t="s">
        <v>622</v>
      </c>
      <c r="H918" s="31" t="s">
        <v>623</v>
      </c>
      <c r="I918" s="31">
        <v>2</v>
      </c>
      <c r="J918" s="31" t="s">
        <v>626</v>
      </c>
      <c r="K918" s="31" t="s">
        <v>105</v>
      </c>
      <c r="L918" s="31" t="s">
        <v>624</v>
      </c>
      <c r="M918" s="31" t="s">
        <v>624</v>
      </c>
      <c r="N918" s="31" t="s">
        <v>624</v>
      </c>
      <c r="O918" s="31" t="s">
        <v>624</v>
      </c>
      <c r="P918" s="31" t="s">
        <v>624</v>
      </c>
      <c r="Q918" s="31" t="s">
        <v>624</v>
      </c>
      <c r="R918" s="31" t="s">
        <v>625</v>
      </c>
      <c r="S918" s="31" t="s">
        <v>625</v>
      </c>
      <c r="T918" s="31" t="s">
        <v>625</v>
      </c>
      <c r="U918" s="31" t="s">
        <v>625</v>
      </c>
      <c r="V918" s="31" t="s">
        <v>626</v>
      </c>
      <c r="W918" s="31" t="s">
        <v>625</v>
      </c>
      <c r="X918" s="31" t="s">
        <v>625</v>
      </c>
      <c r="Y918" s="31" t="s">
        <v>626</v>
      </c>
      <c r="Z918" s="31" t="s">
        <v>626</v>
      </c>
      <c r="AA918" s="31" t="s">
        <v>625</v>
      </c>
      <c r="AB918" s="31" t="s">
        <v>627</v>
      </c>
      <c r="AC918" s="31" t="s">
        <v>628</v>
      </c>
      <c r="AD918" s="33" t="s">
        <v>629</v>
      </c>
    </row>
    <row r="919" spans="1:30" x14ac:dyDescent="0.3">
      <c r="A919" s="34"/>
      <c r="B919" s="35"/>
      <c r="C919" s="25" t="s">
        <v>652</v>
      </c>
      <c r="D919" s="25" t="s">
        <v>40</v>
      </c>
      <c r="E919" s="25" t="s">
        <v>674</v>
      </c>
      <c r="F919" s="25" t="s">
        <v>675</v>
      </c>
      <c r="G919" s="25" t="s">
        <v>633</v>
      </c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6"/>
    </row>
    <row r="920" spans="1:30" x14ac:dyDescent="0.3">
      <c r="A920" s="34"/>
      <c r="B920" s="35"/>
      <c r="C920" s="25" t="s">
        <v>634</v>
      </c>
      <c r="D920" s="25" t="s">
        <v>41</v>
      </c>
      <c r="E920" s="25" t="s">
        <v>752</v>
      </c>
      <c r="F920" s="25" t="s">
        <v>692</v>
      </c>
      <c r="G920" s="25" t="s">
        <v>633</v>
      </c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6"/>
    </row>
    <row r="921" spans="1:30" x14ac:dyDescent="0.3">
      <c r="A921" s="34"/>
      <c r="B921" s="35"/>
      <c r="C921" s="25" t="s">
        <v>637</v>
      </c>
      <c r="D921" s="25" t="s">
        <v>42</v>
      </c>
      <c r="E921" s="25" t="s">
        <v>631</v>
      </c>
      <c r="F921" s="25" t="s">
        <v>632</v>
      </c>
      <c r="G921" s="25" t="s">
        <v>633</v>
      </c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6"/>
    </row>
    <row r="922" spans="1:30" x14ac:dyDescent="0.3">
      <c r="A922" s="34"/>
      <c r="B922" s="35"/>
      <c r="C922" s="25" t="s">
        <v>642</v>
      </c>
      <c r="D922" s="25" t="s">
        <v>43</v>
      </c>
      <c r="E922" s="25" t="s">
        <v>638</v>
      </c>
      <c r="F922" s="25" t="s">
        <v>639</v>
      </c>
      <c r="G922" s="25" t="s">
        <v>633</v>
      </c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6"/>
    </row>
    <row r="923" spans="1:30" x14ac:dyDescent="0.3">
      <c r="A923" s="34"/>
      <c r="B923" s="37"/>
      <c r="C923" s="25" t="s">
        <v>645</v>
      </c>
      <c r="D923" s="25" t="s">
        <v>44</v>
      </c>
      <c r="E923" s="25" t="s">
        <v>646</v>
      </c>
      <c r="F923" s="25" t="s">
        <v>647</v>
      </c>
      <c r="G923" s="25" t="s">
        <v>633</v>
      </c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6"/>
    </row>
    <row r="924" spans="1:30" x14ac:dyDescent="0.3">
      <c r="A924" s="34"/>
      <c r="B924" s="25" t="s">
        <v>626</v>
      </c>
      <c r="C924" s="25" t="s">
        <v>626</v>
      </c>
      <c r="D924" s="25" t="s">
        <v>45</v>
      </c>
      <c r="E924" s="25" t="s">
        <v>648</v>
      </c>
      <c r="F924" s="25" t="s">
        <v>756</v>
      </c>
      <c r="G924" s="25" t="s">
        <v>650</v>
      </c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6"/>
    </row>
    <row r="925" spans="1:30" x14ac:dyDescent="0.3">
      <c r="A925" s="34"/>
      <c r="B925" s="25" t="s">
        <v>881</v>
      </c>
      <c r="C925" s="25" t="s">
        <v>637</v>
      </c>
      <c r="D925" s="25" t="s">
        <v>46</v>
      </c>
      <c r="E925" s="25" t="s">
        <v>621</v>
      </c>
      <c r="F925" s="25" t="s">
        <v>653</v>
      </c>
      <c r="G925" s="25" t="s">
        <v>650</v>
      </c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6"/>
    </row>
    <row r="926" spans="1:30" x14ac:dyDescent="0.3">
      <c r="A926" s="34"/>
      <c r="B926" s="25" t="s">
        <v>983</v>
      </c>
      <c r="C926" s="25" t="s">
        <v>652</v>
      </c>
      <c r="D926" s="25" t="s">
        <v>42</v>
      </c>
      <c r="E926" s="25" t="s">
        <v>631</v>
      </c>
      <c r="F926" s="25" t="s">
        <v>632</v>
      </c>
      <c r="G926" s="25" t="s">
        <v>650</v>
      </c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6"/>
    </row>
    <row r="927" spans="1:30" x14ac:dyDescent="0.3">
      <c r="A927" s="34"/>
      <c r="B927" s="25" t="s">
        <v>682</v>
      </c>
      <c r="C927" s="25" t="s">
        <v>630</v>
      </c>
      <c r="D927" s="25" t="s">
        <v>47</v>
      </c>
      <c r="E927" s="25" t="s">
        <v>674</v>
      </c>
      <c r="F927" s="25" t="s">
        <v>683</v>
      </c>
      <c r="G927" s="25" t="s">
        <v>650</v>
      </c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6"/>
    </row>
    <row r="928" spans="1:30" x14ac:dyDescent="0.3">
      <c r="A928" s="34"/>
      <c r="B928" s="25" t="s">
        <v>656</v>
      </c>
      <c r="C928" s="25" t="s">
        <v>652</v>
      </c>
      <c r="D928" s="25" t="s">
        <v>43</v>
      </c>
      <c r="E928" s="25" t="s">
        <v>638</v>
      </c>
      <c r="F928" s="25" t="s">
        <v>639</v>
      </c>
      <c r="G928" s="25" t="s">
        <v>650</v>
      </c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6"/>
    </row>
    <row r="929" spans="1:30" x14ac:dyDescent="0.3">
      <c r="A929" s="34"/>
      <c r="B929" s="25" t="s">
        <v>734</v>
      </c>
      <c r="C929" s="25" t="s">
        <v>652</v>
      </c>
      <c r="D929" s="25" t="s">
        <v>49</v>
      </c>
      <c r="E929" s="25" t="s">
        <v>735</v>
      </c>
      <c r="F929" s="25" t="s">
        <v>686</v>
      </c>
      <c r="G929" s="25" t="s">
        <v>650</v>
      </c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6"/>
    </row>
    <row r="930" spans="1:30" x14ac:dyDescent="0.3">
      <c r="A930" s="34"/>
      <c r="B930" s="25" t="s">
        <v>989</v>
      </c>
      <c r="C930" s="25" t="s">
        <v>652</v>
      </c>
      <c r="D930" s="25" t="s">
        <v>41</v>
      </c>
      <c r="E930" s="25" t="s">
        <v>752</v>
      </c>
      <c r="F930" s="25" t="s">
        <v>692</v>
      </c>
      <c r="G930" s="25" t="s">
        <v>650</v>
      </c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6"/>
    </row>
    <row r="931" spans="1:30" ht="15" thickBot="1" x14ac:dyDescent="0.35">
      <c r="A931" s="38"/>
      <c r="B931" s="39" t="s">
        <v>738</v>
      </c>
      <c r="C931" s="39" t="s">
        <v>634</v>
      </c>
      <c r="D931" s="39" t="s">
        <v>48</v>
      </c>
      <c r="E931" s="39" t="s">
        <v>739</v>
      </c>
      <c r="F931" s="39" t="s">
        <v>660</v>
      </c>
      <c r="G931" s="39" t="s">
        <v>650</v>
      </c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1"/>
    </row>
    <row r="932" spans="1:30" x14ac:dyDescent="0.3">
      <c r="A932" s="30" t="s">
        <v>23</v>
      </c>
      <c r="B932" s="31" t="s">
        <v>1064</v>
      </c>
      <c r="C932" s="32" t="s">
        <v>620</v>
      </c>
      <c r="D932" s="32" t="s">
        <v>24</v>
      </c>
      <c r="E932" s="32" t="s">
        <v>621</v>
      </c>
      <c r="F932" s="32"/>
      <c r="G932" s="32" t="s">
        <v>622</v>
      </c>
      <c r="H932" s="31" t="s">
        <v>623</v>
      </c>
      <c r="I932" s="31">
        <v>1</v>
      </c>
      <c r="J932" s="31" t="s">
        <v>626</v>
      </c>
      <c r="K932" s="31" t="s">
        <v>105</v>
      </c>
      <c r="L932" s="31" t="s">
        <v>624</v>
      </c>
      <c r="M932" s="31" t="s">
        <v>624</v>
      </c>
      <c r="N932" s="31" t="s">
        <v>624</v>
      </c>
      <c r="O932" s="31" t="s">
        <v>624</v>
      </c>
      <c r="P932" s="31" t="s">
        <v>624</v>
      </c>
      <c r="Q932" s="31" t="s">
        <v>624</v>
      </c>
      <c r="R932" s="31" t="s">
        <v>625</v>
      </c>
      <c r="S932" s="31" t="s">
        <v>625</v>
      </c>
      <c r="T932" s="31" t="s">
        <v>625</v>
      </c>
      <c r="U932" s="31" t="s">
        <v>625</v>
      </c>
      <c r="V932" s="31" t="s">
        <v>626</v>
      </c>
      <c r="W932" s="31" t="s">
        <v>625</v>
      </c>
      <c r="X932" s="31" t="s">
        <v>625</v>
      </c>
      <c r="Y932" s="31" t="s">
        <v>626</v>
      </c>
      <c r="Z932" s="31" t="s">
        <v>626</v>
      </c>
      <c r="AA932" s="31" t="s">
        <v>625</v>
      </c>
      <c r="AB932" s="31" t="s">
        <v>627</v>
      </c>
      <c r="AC932" s="31" t="s">
        <v>628</v>
      </c>
      <c r="AD932" s="33" t="s">
        <v>629</v>
      </c>
    </row>
    <row r="933" spans="1:30" x14ac:dyDescent="0.3">
      <c r="A933" s="34"/>
      <c r="B933" s="35"/>
      <c r="C933" s="25" t="s">
        <v>652</v>
      </c>
      <c r="D933" s="25" t="s">
        <v>25</v>
      </c>
      <c r="E933" s="25" t="s">
        <v>674</v>
      </c>
      <c r="F933" s="25" t="s">
        <v>691</v>
      </c>
      <c r="G933" s="25" t="s">
        <v>633</v>
      </c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6"/>
    </row>
    <row r="934" spans="1:30" x14ac:dyDescent="0.3">
      <c r="A934" s="34"/>
      <c r="B934" s="35"/>
      <c r="C934" s="25" t="s">
        <v>630</v>
      </c>
      <c r="D934" s="25" t="s">
        <v>26</v>
      </c>
      <c r="E934" s="25" t="s">
        <v>735</v>
      </c>
      <c r="F934" s="25" t="s">
        <v>693</v>
      </c>
      <c r="G934" s="25" t="s">
        <v>633</v>
      </c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6"/>
    </row>
    <row r="935" spans="1:30" x14ac:dyDescent="0.3">
      <c r="A935" s="34"/>
      <c r="B935" s="35"/>
      <c r="C935" s="25" t="s">
        <v>634</v>
      </c>
      <c r="D935" s="25" t="s">
        <v>27</v>
      </c>
      <c r="E935" s="25" t="s">
        <v>752</v>
      </c>
      <c r="F935" s="25" t="s">
        <v>689</v>
      </c>
      <c r="G935" s="25" t="s">
        <v>633</v>
      </c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6"/>
    </row>
    <row r="936" spans="1:30" x14ac:dyDescent="0.3">
      <c r="A936" s="34"/>
      <c r="B936" s="35"/>
      <c r="C936" s="25" t="s">
        <v>637</v>
      </c>
      <c r="D936" s="25" t="s">
        <v>28</v>
      </c>
      <c r="E936" s="25" t="s">
        <v>631</v>
      </c>
      <c r="F936" s="25" t="s">
        <v>632</v>
      </c>
      <c r="G936" s="25" t="s">
        <v>633</v>
      </c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6"/>
    </row>
    <row r="937" spans="1:30" x14ac:dyDescent="0.3">
      <c r="A937" s="34"/>
      <c r="B937" s="35"/>
      <c r="C937" s="25" t="s">
        <v>640</v>
      </c>
      <c r="D937" s="25" t="s">
        <v>29</v>
      </c>
      <c r="E937" s="25" t="s">
        <v>739</v>
      </c>
      <c r="F937" s="25" t="s">
        <v>662</v>
      </c>
      <c r="G937" s="25" t="s">
        <v>633</v>
      </c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6"/>
    </row>
    <row r="938" spans="1:30" x14ac:dyDescent="0.3">
      <c r="A938" s="34"/>
      <c r="B938" s="35"/>
      <c r="C938" s="25" t="s">
        <v>642</v>
      </c>
      <c r="D938" s="25" t="s">
        <v>30</v>
      </c>
      <c r="E938" s="25" t="s">
        <v>638</v>
      </c>
      <c r="F938" s="25" t="s">
        <v>639</v>
      </c>
      <c r="G938" s="25" t="s">
        <v>633</v>
      </c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6"/>
    </row>
    <row r="939" spans="1:30" x14ac:dyDescent="0.3">
      <c r="A939" s="34"/>
      <c r="B939" s="37"/>
      <c r="C939" s="25" t="s">
        <v>645</v>
      </c>
      <c r="D939" s="25" t="s">
        <v>31</v>
      </c>
      <c r="E939" s="25" t="s">
        <v>646</v>
      </c>
      <c r="F939" s="25" t="s">
        <v>647</v>
      </c>
      <c r="G939" s="25" t="s">
        <v>633</v>
      </c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6"/>
    </row>
    <row r="940" spans="1:30" x14ac:dyDescent="0.3">
      <c r="A940" s="34"/>
      <c r="B940" s="25" t="s">
        <v>626</v>
      </c>
      <c r="C940" s="25" t="s">
        <v>626</v>
      </c>
      <c r="D940" s="25" t="s">
        <v>1065</v>
      </c>
      <c r="E940" s="25" t="s">
        <v>648</v>
      </c>
      <c r="F940" s="25" t="s">
        <v>756</v>
      </c>
      <c r="G940" s="25" t="s">
        <v>650</v>
      </c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6"/>
    </row>
    <row r="941" spans="1:30" x14ac:dyDescent="0.3">
      <c r="A941" s="34"/>
      <c r="B941" s="25" t="s">
        <v>626</v>
      </c>
      <c r="C941" s="25" t="s">
        <v>626</v>
      </c>
      <c r="D941" s="25" t="s">
        <v>1066</v>
      </c>
      <c r="E941" s="25" t="s">
        <v>666</v>
      </c>
      <c r="F941" s="25" t="s">
        <v>667</v>
      </c>
      <c r="G941" s="25" t="s">
        <v>650</v>
      </c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6"/>
    </row>
    <row r="942" spans="1:30" x14ac:dyDescent="0.3">
      <c r="A942" s="34"/>
      <c r="B942" s="25" t="s">
        <v>888</v>
      </c>
      <c r="C942" s="25" t="s">
        <v>637</v>
      </c>
      <c r="D942" s="25" t="s">
        <v>33</v>
      </c>
      <c r="E942" s="25" t="s">
        <v>621</v>
      </c>
      <c r="F942" s="25" t="s">
        <v>653</v>
      </c>
      <c r="G942" s="25" t="s">
        <v>650</v>
      </c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6"/>
    </row>
    <row r="943" spans="1:30" x14ac:dyDescent="0.3">
      <c r="A943" s="34"/>
      <c r="B943" s="25" t="s">
        <v>985</v>
      </c>
      <c r="C943" s="25" t="s">
        <v>630</v>
      </c>
      <c r="D943" s="25" t="s">
        <v>28</v>
      </c>
      <c r="E943" s="25" t="s">
        <v>631</v>
      </c>
      <c r="F943" s="25" t="s">
        <v>632</v>
      </c>
      <c r="G943" s="25" t="s">
        <v>650</v>
      </c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6"/>
    </row>
    <row r="944" spans="1:30" x14ac:dyDescent="0.3">
      <c r="A944" s="34"/>
      <c r="B944" s="25" t="s">
        <v>696</v>
      </c>
      <c r="C944" s="25" t="s">
        <v>630</v>
      </c>
      <c r="D944" s="25" t="s">
        <v>34</v>
      </c>
      <c r="E944" s="25" t="s">
        <v>674</v>
      </c>
      <c r="F944" s="25" t="s">
        <v>697</v>
      </c>
      <c r="G944" s="25" t="s">
        <v>650</v>
      </c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6"/>
    </row>
    <row r="945" spans="1:30" x14ac:dyDescent="0.3">
      <c r="A945" s="34"/>
      <c r="B945" s="25" t="s">
        <v>670</v>
      </c>
      <c r="C945" s="25" t="s">
        <v>630</v>
      </c>
      <c r="D945" s="25" t="s">
        <v>30</v>
      </c>
      <c r="E945" s="25" t="s">
        <v>638</v>
      </c>
      <c r="F945" s="25" t="s">
        <v>639</v>
      </c>
      <c r="G945" s="25" t="s">
        <v>650</v>
      </c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6"/>
    </row>
    <row r="946" spans="1:30" x14ac:dyDescent="0.3">
      <c r="A946" s="34"/>
      <c r="B946" s="25" t="s">
        <v>862</v>
      </c>
      <c r="C946" s="25" t="s">
        <v>652</v>
      </c>
      <c r="D946" s="25" t="s">
        <v>27</v>
      </c>
      <c r="E946" s="25" t="s">
        <v>752</v>
      </c>
      <c r="F946" s="25" t="s">
        <v>689</v>
      </c>
      <c r="G946" s="25" t="s">
        <v>650</v>
      </c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6"/>
    </row>
    <row r="947" spans="1:30" ht="15" thickBot="1" x14ac:dyDescent="0.35">
      <c r="A947" s="43"/>
      <c r="B947" s="44" t="s">
        <v>748</v>
      </c>
      <c r="C947" s="44" t="s">
        <v>634</v>
      </c>
      <c r="D947" s="44" t="s">
        <v>26</v>
      </c>
      <c r="E947" s="44" t="s">
        <v>735</v>
      </c>
      <c r="F947" s="44" t="s">
        <v>693</v>
      </c>
      <c r="G947" s="44" t="s">
        <v>650</v>
      </c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6"/>
    </row>
    <row r="948" spans="1:30" ht="15" thickTop="1" x14ac:dyDescent="0.3"/>
  </sheetData>
  <sheetProtection formatCells="0" formatColumns="0" formatRows="0" insertColumns="0" insertRows="0" insertHyperlinks="0" deleteColumns="0" deleteRows="0" sort="0" autoFilter="0" pivotTables="0"/>
  <autoFilter ref="A2:AD947" xr:uid="{2C6E7527-4452-427B-BC21-24A74B62F939}"/>
  <mergeCells count="1">
    <mergeCell ref="R1:AB1"/>
  </mergeCells>
  <phoneticPr fontId="2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18A5-7ECE-4BD7-99BC-2559277E1AF4}">
  <sheetPr>
    <tabColor theme="0" tint="-0.34998626667073579"/>
  </sheetPr>
  <dimension ref="A1:I905"/>
  <sheetViews>
    <sheetView zoomScale="70" zoomScaleNormal="70" workbookViewId="0">
      <selection activeCell="C22" sqref="C22"/>
    </sheetView>
  </sheetViews>
  <sheetFormatPr defaultColWidth="8.6640625" defaultRowHeight="14.4" x14ac:dyDescent="0.3"/>
  <cols>
    <col min="1" max="2" width="24.6640625" style="26" customWidth="1"/>
    <col min="3" max="3" width="14" style="26" customWidth="1"/>
    <col min="4" max="4" width="15.33203125" style="26" customWidth="1"/>
    <col min="5" max="5" width="11.6640625" style="26" customWidth="1"/>
    <col min="6" max="6" width="18.6640625" style="26" customWidth="1"/>
    <col min="7" max="7" width="20" style="26" customWidth="1"/>
    <col min="8" max="8" width="27.44140625" style="26" customWidth="1"/>
    <col min="9" max="9" width="29.77734375" style="26" customWidth="1"/>
    <col min="10" max="16384" width="8.6640625" style="26"/>
  </cols>
  <sheetData>
    <row r="1" spans="1:9" ht="15.6" thickTop="1" thickBot="1" x14ac:dyDescent="0.35">
      <c r="A1" s="118" t="s">
        <v>1067</v>
      </c>
      <c r="B1" s="119" t="s">
        <v>1068</v>
      </c>
      <c r="C1" s="119" t="s">
        <v>1069</v>
      </c>
      <c r="D1" s="119" t="s">
        <v>1070</v>
      </c>
      <c r="E1" s="119" t="s">
        <v>1071</v>
      </c>
      <c r="F1" s="119" t="s">
        <v>1072</v>
      </c>
      <c r="G1" s="119" t="s">
        <v>1073</v>
      </c>
      <c r="H1" s="119" t="s">
        <v>1296</v>
      </c>
      <c r="I1" s="120" t="s">
        <v>1297</v>
      </c>
    </row>
    <row r="2" spans="1:9" x14ac:dyDescent="0.3">
      <c r="A2" s="30" t="s">
        <v>730</v>
      </c>
      <c r="B2" s="31" t="s">
        <v>214</v>
      </c>
      <c r="C2" s="47" t="s">
        <v>621</v>
      </c>
      <c r="D2" s="31" t="s">
        <v>729</v>
      </c>
      <c r="E2" s="32" t="s">
        <v>620</v>
      </c>
      <c r="F2" s="32" t="s">
        <v>626</v>
      </c>
      <c r="G2" s="32" t="s">
        <v>1074</v>
      </c>
      <c r="H2" s="32"/>
      <c r="I2" s="48"/>
    </row>
    <row r="3" spans="1:9" x14ac:dyDescent="0.3">
      <c r="A3" s="34"/>
      <c r="B3" s="35"/>
      <c r="C3" s="28"/>
      <c r="D3" s="35"/>
      <c r="E3" s="25" t="s">
        <v>652</v>
      </c>
      <c r="F3" s="25" t="s">
        <v>1075</v>
      </c>
      <c r="G3" s="25" t="s">
        <v>209</v>
      </c>
      <c r="H3" s="25">
        <v>30</v>
      </c>
      <c r="I3" s="49">
        <v>17</v>
      </c>
    </row>
    <row r="4" spans="1:9" x14ac:dyDescent="0.3">
      <c r="A4" s="34"/>
      <c r="B4" s="35"/>
      <c r="C4" s="28"/>
      <c r="D4" s="35"/>
      <c r="E4" s="25" t="s">
        <v>630</v>
      </c>
      <c r="F4" s="25" t="s">
        <v>1075</v>
      </c>
      <c r="G4" s="25" t="s">
        <v>385</v>
      </c>
      <c r="H4" s="25">
        <v>58</v>
      </c>
      <c r="I4" s="49"/>
    </row>
    <row r="5" spans="1:9" x14ac:dyDescent="0.3">
      <c r="A5" s="34"/>
      <c r="B5" s="35"/>
      <c r="C5" s="28"/>
      <c r="D5" s="35"/>
      <c r="E5" s="25" t="s">
        <v>634</v>
      </c>
      <c r="F5" s="25" t="s">
        <v>1075</v>
      </c>
      <c r="G5" s="25" t="s">
        <v>358</v>
      </c>
      <c r="H5" s="25">
        <v>54</v>
      </c>
      <c r="I5" s="49">
        <v>26</v>
      </c>
    </row>
    <row r="6" spans="1:9" x14ac:dyDescent="0.3">
      <c r="A6" s="34"/>
      <c r="B6" s="35"/>
      <c r="C6" s="28"/>
      <c r="D6" s="35"/>
      <c r="E6" s="25" t="s">
        <v>637</v>
      </c>
      <c r="F6" s="25" t="s">
        <v>626</v>
      </c>
      <c r="G6" s="25" t="s">
        <v>1074</v>
      </c>
      <c r="H6" s="25"/>
      <c r="I6" s="49"/>
    </row>
    <row r="7" spans="1:9" ht="15" thickBot="1" x14ac:dyDescent="0.35">
      <c r="A7" s="38"/>
      <c r="B7" s="40"/>
      <c r="C7" s="50"/>
      <c r="D7" s="40"/>
      <c r="E7" s="39" t="s">
        <v>640</v>
      </c>
      <c r="F7" s="39" t="s">
        <v>626</v>
      </c>
      <c r="G7" s="39" t="s">
        <v>1074</v>
      </c>
      <c r="H7" s="39"/>
      <c r="I7" s="51"/>
    </row>
    <row r="8" spans="1:9" x14ac:dyDescent="0.3">
      <c r="A8" s="30" t="s">
        <v>783</v>
      </c>
      <c r="B8" s="31" t="s">
        <v>215</v>
      </c>
      <c r="C8" s="47" t="s">
        <v>621</v>
      </c>
      <c r="D8" s="31" t="s">
        <v>794</v>
      </c>
      <c r="E8" s="32" t="s">
        <v>620</v>
      </c>
      <c r="F8" s="32" t="s">
        <v>626</v>
      </c>
      <c r="G8" s="32" t="s">
        <v>1074</v>
      </c>
      <c r="H8" s="32"/>
      <c r="I8" s="48"/>
    </row>
    <row r="9" spans="1:9" x14ac:dyDescent="0.3">
      <c r="A9" s="34"/>
      <c r="B9" s="35"/>
      <c r="C9" s="28"/>
      <c r="D9" s="35"/>
      <c r="E9" s="25" t="s">
        <v>652</v>
      </c>
      <c r="F9" s="25" t="s">
        <v>1075</v>
      </c>
      <c r="G9" s="25" t="s">
        <v>366</v>
      </c>
      <c r="H9" s="25">
        <v>55</v>
      </c>
      <c r="I9" s="49">
        <v>27</v>
      </c>
    </row>
    <row r="10" spans="1:9" x14ac:dyDescent="0.3">
      <c r="A10" s="34"/>
      <c r="B10" s="35"/>
      <c r="C10" s="28"/>
      <c r="D10" s="35"/>
      <c r="E10" s="25" t="s">
        <v>630</v>
      </c>
      <c r="F10" s="25" t="s">
        <v>1075</v>
      </c>
      <c r="G10" s="25" t="s">
        <v>539</v>
      </c>
      <c r="H10" s="25">
        <v>90</v>
      </c>
      <c r="I10" s="49">
        <v>42</v>
      </c>
    </row>
    <row r="11" spans="1:9" x14ac:dyDescent="0.3">
      <c r="A11" s="34"/>
      <c r="B11" s="35"/>
      <c r="C11" s="28"/>
      <c r="D11" s="35"/>
      <c r="E11" s="25" t="s">
        <v>634</v>
      </c>
      <c r="F11" s="25" t="s">
        <v>626</v>
      </c>
      <c r="G11" s="25" t="s">
        <v>1074</v>
      </c>
      <c r="H11" s="25"/>
      <c r="I11" s="49"/>
    </row>
    <row r="12" spans="1:9" x14ac:dyDescent="0.3">
      <c r="A12" s="34"/>
      <c r="B12" s="35"/>
      <c r="C12" s="28"/>
      <c r="D12" s="35"/>
      <c r="E12" s="25" t="s">
        <v>637</v>
      </c>
      <c r="F12" s="25" t="s">
        <v>626</v>
      </c>
      <c r="G12" s="25" t="s">
        <v>1074</v>
      </c>
      <c r="H12" s="25"/>
      <c r="I12" s="49"/>
    </row>
    <row r="13" spans="1:9" x14ac:dyDescent="0.3">
      <c r="A13" s="34"/>
      <c r="B13" s="35"/>
      <c r="C13" s="28"/>
      <c r="D13" s="35"/>
      <c r="E13" s="25" t="s">
        <v>640</v>
      </c>
      <c r="F13" s="25" t="s">
        <v>626</v>
      </c>
      <c r="G13" s="25" t="s">
        <v>1074</v>
      </c>
      <c r="H13" s="25"/>
      <c r="I13" s="49"/>
    </row>
    <row r="14" spans="1:9" ht="15" thickBot="1" x14ac:dyDescent="0.35">
      <c r="A14" s="38"/>
      <c r="B14" s="40"/>
      <c r="C14" s="50"/>
      <c r="D14" s="40"/>
      <c r="E14" s="39" t="s">
        <v>642</v>
      </c>
      <c r="F14" s="39" t="s">
        <v>1075</v>
      </c>
      <c r="G14" s="39" t="s">
        <v>209</v>
      </c>
      <c r="H14" s="39">
        <v>30</v>
      </c>
      <c r="I14" s="51">
        <v>17</v>
      </c>
    </row>
    <row r="15" spans="1:9" x14ac:dyDescent="0.3">
      <c r="A15" s="30" t="s">
        <v>956</v>
      </c>
      <c r="B15" s="31" t="s">
        <v>280</v>
      </c>
      <c r="C15" s="47" t="s">
        <v>621</v>
      </c>
      <c r="D15" s="31" t="s">
        <v>955</v>
      </c>
      <c r="E15" s="32" t="s">
        <v>620</v>
      </c>
      <c r="F15" s="32" t="s">
        <v>626</v>
      </c>
      <c r="G15" s="32" t="s">
        <v>1074</v>
      </c>
      <c r="H15" s="32"/>
      <c r="I15" s="48"/>
    </row>
    <row r="16" spans="1:9" x14ac:dyDescent="0.3">
      <c r="A16" s="34"/>
      <c r="B16" s="35"/>
      <c r="C16" s="28"/>
      <c r="D16" s="35"/>
      <c r="E16" s="25" t="s">
        <v>652</v>
      </c>
      <c r="F16" s="25" t="s">
        <v>1075</v>
      </c>
      <c r="G16" s="25" t="s">
        <v>275</v>
      </c>
      <c r="H16" s="25">
        <v>44</v>
      </c>
      <c r="I16" s="49">
        <v>20</v>
      </c>
    </row>
    <row r="17" spans="1:9" x14ac:dyDescent="0.3">
      <c r="A17" s="34"/>
      <c r="B17" s="35"/>
      <c r="C17" s="28"/>
      <c r="D17" s="35"/>
      <c r="E17" s="25" t="s">
        <v>630</v>
      </c>
      <c r="F17" s="25" t="s">
        <v>1075</v>
      </c>
      <c r="G17" s="25" t="s">
        <v>290</v>
      </c>
      <c r="H17" s="25">
        <v>46</v>
      </c>
      <c r="I17" s="49">
        <v>22</v>
      </c>
    </row>
    <row r="18" spans="1:9" x14ac:dyDescent="0.3">
      <c r="A18" s="34"/>
      <c r="B18" s="35"/>
      <c r="C18" s="28"/>
      <c r="D18" s="35"/>
      <c r="E18" s="25" t="s">
        <v>634</v>
      </c>
      <c r="F18" s="25" t="s">
        <v>626</v>
      </c>
      <c r="G18" s="25" t="s">
        <v>1074</v>
      </c>
      <c r="H18" s="25"/>
      <c r="I18" s="49"/>
    </row>
    <row r="19" spans="1:9" x14ac:dyDescent="0.3">
      <c r="A19" s="34"/>
      <c r="B19" s="35"/>
      <c r="C19" s="28"/>
      <c r="D19" s="35"/>
      <c r="E19" s="25" t="s">
        <v>637</v>
      </c>
      <c r="F19" s="25" t="s">
        <v>626</v>
      </c>
      <c r="G19" s="25" t="s">
        <v>1074</v>
      </c>
      <c r="H19" s="25"/>
      <c r="I19" s="49"/>
    </row>
    <row r="20" spans="1:9" x14ac:dyDescent="0.3">
      <c r="A20" s="34"/>
      <c r="B20" s="35"/>
      <c r="C20" s="28"/>
      <c r="D20" s="35"/>
      <c r="E20" s="25" t="s">
        <v>640</v>
      </c>
      <c r="F20" s="25" t="s">
        <v>626</v>
      </c>
      <c r="G20" s="25" t="s">
        <v>1074</v>
      </c>
      <c r="H20" s="25"/>
      <c r="I20" s="49"/>
    </row>
    <row r="21" spans="1:9" ht="15" thickBot="1" x14ac:dyDescent="0.35">
      <c r="A21" s="38"/>
      <c r="B21" s="40"/>
      <c r="C21" s="50"/>
      <c r="D21" s="40"/>
      <c r="E21" s="39" t="s">
        <v>642</v>
      </c>
      <c r="F21" s="39" t="s">
        <v>1075</v>
      </c>
      <c r="G21" s="39" t="s">
        <v>504</v>
      </c>
      <c r="H21" s="39">
        <v>81</v>
      </c>
      <c r="I21" s="51">
        <v>40</v>
      </c>
    </row>
    <row r="22" spans="1:9" x14ac:dyDescent="0.3">
      <c r="A22" s="30" t="s">
        <v>631</v>
      </c>
      <c r="B22" s="31" t="s">
        <v>147</v>
      </c>
      <c r="C22" s="47" t="s">
        <v>621</v>
      </c>
      <c r="D22" s="31" t="s">
        <v>907</v>
      </c>
      <c r="E22" s="32" t="s">
        <v>620</v>
      </c>
      <c r="F22" s="32" t="s">
        <v>626</v>
      </c>
      <c r="G22" s="32" t="s">
        <v>1074</v>
      </c>
      <c r="H22" s="32"/>
      <c r="I22" s="48"/>
    </row>
    <row r="23" spans="1:9" x14ac:dyDescent="0.3">
      <c r="A23" s="34"/>
      <c r="B23" s="35"/>
      <c r="C23" s="28"/>
      <c r="D23" s="35"/>
      <c r="E23" s="25" t="s">
        <v>652</v>
      </c>
      <c r="F23" s="25" t="s">
        <v>1075</v>
      </c>
      <c r="G23" s="25" t="s">
        <v>422</v>
      </c>
      <c r="H23" s="25">
        <v>68</v>
      </c>
      <c r="I23" s="49"/>
    </row>
    <row r="24" spans="1:9" x14ac:dyDescent="0.3">
      <c r="A24" s="34"/>
      <c r="B24" s="35"/>
      <c r="C24" s="28"/>
      <c r="D24" s="35"/>
      <c r="E24" s="25" t="s">
        <v>630</v>
      </c>
      <c r="F24" s="25" t="s">
        <v>1075</v>
      </c>
      <c r="G24" s="25" t="s">
        <v>145</v>
      </c>
      <c r="H24" s="25">
        <v>22</v>
      </c>
      <c r="I24" s="49">
        <v>11</v>
      </c>
    </row>
    <row r="25" spans="1:9" ht="15" thickBot="1" x14ac:dyDescent="0.35">
      <c r="A25" s="38"/>
      <c r="B25" s="40"/>
      <c r="C25" s="50"/>
      <c r="D25" s="40"/>
      <c r="E25" s="39" t="s">
        <v>634</v>
      </c>
      <c r="F25" s="39" t="s">
        <v>1075</v>
      </c>
      <c r="G25" s="39" t="s">
        <v>253</v>
      </c>
      <c r="H25" s="39">
        <v>40</v>
      </c>
      <c r="I25" s="51"/>
    </row>
    <row r="26" spans="1:9" x14ac:dyDescent="0.3">
      <c r="A26" s="30" t="s">
        <v>631</v>
      </c>
      <c r="B26" s="31" t="s">
        <v>292</v>
      </c>
      <c r="C26" s="47" t="s">
        <v>621</v>
      </c>
      <c r="D26" s="31" t="s">
        <v>819</v>
      </c>
      <c r="E26" s="32" t="s">
        <v>620</v>
      </c>
      <c r="F26" s="32" t="s">
        <v>626</v>
      </c>
      <c r="G26" s="32" t="s">
        <v>1074</v>
      </c>
      <c r="H26" s="32"/>
      <c r="I26" s="48"/>
    </row>
    <row r="27" spans="1:9" x14ac:dyDescent="0.3">
      <c r="A27" s="34"/>
      <c r="B27" s="35"/>
      <c r="C27" s="28"/>
      <c r="D27" s="35"/>
      <c r="E27" s="25" t="s">
        <v>652</v>
      </c>
      <c r="F27" s="25" t="s">
        <v>1075</v>
      </c>
      <c r="G27" s="25" t="s">
        <v>290</v>
      </c>
      <c r="H27" s="25">
        <v>46</v>
      </c>
      <c r="I27" s="49">
        <v>22</v>
      </c>
    </row>
    <row r="28" spans="1:9" x14ac:dyDescent="0.3">
      <c r="A28" s="34"/>
      <c r="B28" s="35"/>
      <c r="C28" s="28"/>
      <c r="D28" s="35"/>
      <c r="E28" s="25" t="s">
        <v>630</v>
      </c>
      <c r="F28" s="25" t="s">
        <v>1075</v>
      </c>
      <c r="G28" s="25" t="s">
        <v>516</v>
      </c>
      <c r="H28" s="25">
        <v>83</v>
      </c>
      <c r="I28" s="49"/>
    </row>
    <row r="29" spans="1:9" ht="15" thickBot="1" x14ac:dyDescent="0.35">
      <c r="A29" s="38"/>
      <c r="B29" s="40"/>
      <c r="C29" s="50"/>
      <c r="D29" s="40"/>
      <c r="E29" s="39" t="s">
        <v>634</v>
      </c>
      <c r="F29" s="39" t="s">
        <v>646</v>
      </c>
      <c r="G29" s="39" t="s">
        <v>1076</v>
      </c>
      <c r="H29" s="39"/>
      <c r="I29" s="51"/>
    </row>
    <row r="30" spans="1:9" x14ac:dyDescent="0.3">
      <c r="A30" s="30" t="s">
        <v>631</v>
      </c>
      <c r="B30" s="31" t="s">
        <v>284</v>
      </c>
      <c r="C30" s="47" t="s">
        <v>621</v>
      </c>
      <c r="D30" s="31" t="s">
        <v>826</v>
      </c>
      <c r="E30" s="32" t="s">
        <v>620</v>
      </c>
      <c r="F30" s="32" t="s">
        <v>626</v>
      </c>
      <c r="G30" s="32" t="s">
        <v>1074</v>
      </c>
      <c r="H30" s="32"/>
      <c r="I30" s="48"/>
    </row>
    <row r="31" spans="1:9" x14ac:dyDescent="0.3">
      <c r="A31" s="34"/>
      <c r="B31" s="35"/>
      <c r="C31" s="28"/>
      <c r="D31" s="35"/>
      <c r="E31" s="25" t="s">
        <v>652</v>
      </c>
      <c r="F31" s="25" t="s">
        <v>1075</v>
      </c>
      <c r="G31" s="25" t="s">
        <v>282</v>
      </c>
      <c r="H31" s="25">
        <v>45</v>
      </c>
      <c r="I31" s="49">
        <v>21</v>
      </c>
    </row>
    <row r="32" spans="1:9" x14ac:dyDescent="0.3">
      <c r="A32" s="34"/>
      <c r="B32" s="35"/>
      <c r="C32" s="28"/>
      <c r="D32" s="35"/>
      <c r="E32" s="25" t="s">
        <v>630</v>
      </c>
      <c r="F32" s="25" t="s">
        <v>1075</v>
      </c>
      <c r="G32" s="25" t="s">
        <v>508</v>
      </c>
      <c r="H32" s="25">
        <v>82</v>
      </c>
      <c r="I32" s="49"/>
    </row>
    <row r="33" spans="1:9" ht="15" thickBot="1" x14ac:dyDescent="0.35">
      <c r="A33" s="38"/>
      <c r="B33" s="40"/>
      <c r="C33" s="50"/>
      <c r="D33" s="40"/>
      <c r="E33" s="39" t="s">
        <v>634</v>
      </c>
      <c r="F33" s="39" t="s">
        <v>646</v>
      </c>
      <c r="G33" s="39" t="s">
        <v>1077</v>
      </c>
      <c r="H33" s="39"/>
      <c r="I33" s="51"/>
    </row>
    <row r="34" spans="1:9" x14ac:dyDescent="0.3">
      <c r="A34" s="30" t="s">
        <v>631</v>
      </c>
      <c r="B34" s="31" t="s">
        <v>267</v>
      </c>
      <c r="C34" s="47" t="s">
        <v>621</v>
      </c>
      <c r="D34" s="31" t="s">
        <v>780</v>
      </c>
      <c r="E34" s="32" t="s">
        <v>620</v>
      </c>
      <c r="F34" s="32" t="s">
        <v>626</v>
      </c>
      <c r="G34" s="32" t="s">
        <v>1074</v>
      </c>
      <c r="H34" s="32"/>
      <c r="I34" s="48"/>
    </row>
    <row r="35" spans="1:9" x14ac:dyDescent="0.3">
      <c r="A35" s="34"/>
      <c r="B35" s="35"/>
      <c r="C35" s="28"/>
      <c r="D35" s="35"/>
      <c r="E35" s="25" t="s">
        <v>652</v>
      </c>
      <c r="F35" s="25" t="s">
        <v>1075</v>
      </c>
      <c r="G35" s="25" t="s">
        <v>264</v>
      </c>
      <c r="H35" s="25">
        <v>42</v>
      </c>
      <c r="I35" s="49"/>
    </row>
    <row r="36" spans="1:9" x14ac:dyDescent="0.3">
      <c r="A36" s="34"/>
      <c r="B36" s="35"/>
      <c r="C36" s="28"/>
      <c r="D36" s="35"/>
      <c r="E36" s="25" t="s">
        <v>630</v>
      </c>
      <c r="F36" s="25" t="s">
        <v>1075</v>
      </c>
      <c r="G36" s="25" t="s">
        <v>548</v>
      </c>
      <c r="H36" s="25">
        <v>92</v>
      </c>
      <c r="I36" s="49">
        <v>44</v>
      </c>
    </row>
    <row r="37" spans="1:9" ht="15" thickBot="1" x14ac:dyDescent="0.35">
      <c r="A37" s="38"/>
      <c r="B37" s="40"/>
      <c r="C37" s="50"/>
      <c r="D37" s="40"/>
      <c r="E37" s="39" t="s">
        <v>634</v>
      </c>
      <c r="F37" s="39" t="s">
        <v>646</v>
      </c>
      <c r="G37" s="39" t="s">
        <v>1078</v>
      </c>
      <c r="H37" s="39"/>
      <c r="I37" s="51"/>
    </row>
    <row r="38" spans="1:9" x14ac:dyDescent="0.3">
      <c r="A38" s="30" t="s">
        <v>631</v>
      </c>
      <c r="B38" s="31" t="s">
        <v>261</v>
      </c>
      <c r="C38" s="47" t="s">
        <v>621</v>
      </c>
      <c r="D38" s="31" t="s">
        <v>786</v>
      </c>
      <c r="E38" s="32" t="s">
        <v>620</v>
      </c>
      <c r="F38" s="32" t="s">
        <v>626</v>
      </c>
      <c r="G38" s="32" t="s">
        <v>1074</v>
      </c>
      <c r="H38" s="32"/>
      <c r="I38" s="48"/>
    </row>
    <row r="39" spans="1:9" x14ac:dyDescent="0.3">
      <c r="A39" s="34"/>
      <c r="B39" s="35"/>
      <c r="C39" s="28"/>
      <c r="D39" s="35"/>
      <c r="E39" s="25" t="s">
        <v>652</v>
      </c>
      <c r="F39" s="25" t="s">
        <v>1075</v>
      </c>
      <c r="G39" s="25" t="s">
        <v>544</v>
      </c>
      <c r="H39" s="25">
        <v>91</v>
      </c>
      <c r="I39" s="49">
        <v>43</v>
      </c>
    </row>
    <row r="40" spans="1:9" x14ac:dyDescent="0.3">
      <c r="A40" s="34"/>
      <c r="B40" s="35"/>
      <c r="C40" s="28"/>
      <c r="D40" s="35"/>
      <c r="E40" s="25" t="s">
        <v>630</v>
      </c>
      <c r="F40" s="25" t="s">
        <v>1075</v>
      </c>
      <c r="G40" s="25" t="s">
        <v>258</v>
      </c>
      <c r="H40" s="25">
        <v>41</v>
      </c>
      <c r="I40" s="49"/>
    </row>
    <row r="41" spans="1:9" ht="15" thickBot="1" x14ac:dyDescent="0.35">
      <c r="A41" s="38"/>
      <c r="B41" s="40"/>
      <c r="C41" s="50"/>
      <c r="D41" s="40"/>
      <c r="E41" s="39" t="s">
        <v>634</v>
      </c>
      <c r="F41" s="39" t="s">
        <v>646</v>
      </c>
      <c r="G41" s="39" t="s">
        <v>1079</v>
      </c>
      <c r="H41" s="39"/>
      <c r="I41" s="51"/>
    </row>
    <row r="42" spans="1:9" x14ac:dyDescent="0.3">
      <c r="A42" s="30" t="s">
        <v>631</v>
      </c>
      <c r="B42" s="31" t="s">
        <v>255</v>
      </c>
      <c r="C42" s="47" t="s">
        <v>621</v>
      </c>
      <c r="D42" s="31" t="s">
        <v>796</v>
      </c>
      <c r="E42" s="32" t="s">
        <v>620</v>
      </c>
      <c r="F42" s="32" t="s">
        <v>626</v>
      </c>
      <c r="G42" s="32" t="s">
        <v>1074</v>
      </c>
      <c r="H42" s="32"/>
      <c r="I42" s="48"/>
    </row>
    <row r="43" spans="1:9" x14ac:dyDescent="0.3">
      <c r="A43" s="34"/>
      <c r="B43" s="35"/>
      <c r="C43" s="28"/>
      <c r="D43" s="35"/>
      <c r="E43" s="25" t="s">
        <v>652</v>
      </c>
      <c r="F43" s="25" t="s">
        <v>1075</v>
      </c>
      <c r="G43" s="25" t="s">
        <v>539</v>
      </c>
      <c r="H43" s="25">
        <v>90</v>
      </c>
      <c r="I43" s="49">
        <v>42</v>
      </c>
    </row>
    <row r="44" spans="1:9" x14ac:dyDescent="0.3">
      <c r="A44" s="34"/>
      <c r="B44" s="35"/>
      <c r="C44" s="28"/>
      <c r="D44" s="35"/>
      <c r="E44" s="25" t="s">
        <v>630</v>
      </c>
      <c r="F44" s="25" t="s">
        <v>1075</v>
      </c>
      <c r="G44" s="25" t="s">
        <v>253</v>
      </c>
      <c r="H44" s="25">
        <v>40</v>
      </c>
      <c r="I44" s="49"/>
    </row>
    <row r="45" spans="1:9" ht="15" thickBot="1" x14ac:dyDescent="0.35">
      <c r="A45" s="38"/>
      <c r="B45" s="40"/>
      <c r="C45" s="50"/>
      <c r="D45" s="40"/>
      <c r="E45" s="39" t="s">
        <v>634</v>
      </c>
      <c r="F45" s="39" t="s">
        <v>646</v>
      </c>
      <c r="G45" s="39" t="s">
        <v>1080</v>
      </c>
      <c r="H45" s="39"/>
      <c r="I45" s="51"/>
    </row>
    <row r="46" spans="1:9" x14ac:dyDescent="0.3">
      <c r="A46" s="30" t="s">
        <v>631</v>
      </c>
      <c r="B46" s="31" t="s">
        <v>250</v>
      </c>
      <c r="C46" s="47" t="s">
        <v>621</v>
      </c>
      <c r="D46" s="31" t="s">
        <v>804</v>
      </c>
      <c r="E46" s="32" t="s">
        <v>620</v>
      </c>
      <c r="F46" s="32" t="s">
        <v>626</v>
      </c>
      <c r="G46" s="32" t="s">
        <v>1074</v>
      </c>
      <c r="H46" s="32"/>
      <c r="I46" s="48"/>
    </row>
    <row r="47" spans="1:9" x14ac:dyDescent="0.3">
      <c r="A47" s="34"/>
      <c r="B47" s="35"/>
      <c r="C47" s="28"/>
      <c r="D47" s="35"/>
      <c r="E47" s="25" t="s">
        <v>652</v>
      </c>
      <c r="F47" s="25" t="s">
        <v>1075</v>
      </c>
      <c r="G47" s="25" t="s">
        <v>248</v>
      </c>
      <c r="H47" s="25">
        <v>39</v>
      </c>
      <c r="I47" s="49">
        <v>19</v>
      </c>
    </row>
    <row r="48" spans="1:9" x14ac:dyDescent="0.3">
      <c r="A48" s="34"/>
      <c r="B48" s="35"/>
      <c r="C48" s="28"/>
      <c r="D48" s="35"/>
      <c r="E48" s="25" t="s">
        <v>630</v>
      </c>
      <c r="F48" s="25" t="s">
        <v>1075</v>
      </c>
      <c r="G48" s="25" t="s">
        <v>534</v>
      </c>
      <c r="H48" s="25">
        <v>89</v>
      </c>
      <c r="I48" s="49">
        <v>41</v>
      </c>
    </row>
    <row r="49" spans="1:9" ht="15" thickBot="1" x14ac:dyDescent="0.35">
      <c r="A49" s="38"/>
      <c r="B49" s="40"/>
      <c r="C49" s="50"/>
      <c r="D49" s="40"/>
      <c r="E49" s="39" t="s">
        <v>634</v>
      </c>
      <c r="F49" s="39" t="s">
        <v>646</v>
      </c>
      <c r="G49" s="39" t="s">
        <v>1081</v>
      </c>
      <c r="H49" s="39"/>
      <c r="I49" s="51"/>
    </row>
    <row r="50" spans="1:9" x14ac:dyDescent="0.3">
      <c r="A50" s="30" t="s">
        <v>631</v>
      </c>
      <c r="B50" s="31" t="s">
        <v>66</v>
      </c>
      <c r="C50" s="47" t="s">
        <v>621</v>
      </c>
      <c r="D50" s="31" t="s">
        <v>949</v>
      </c>
      <c r="E50" s="32" t="s">
        <v>620</v>
      </c>
      <c r="F50" s="32" t="s">
        <v>626</v>
      </c>
      <c r="G50" s="32" t="s">
        <v>1074</v>
      </c>
      <c r="H50" s="32"/>
      <c r="I50" s="48"/>
    </row>
    <row r="51" spans="1:9" x14ac:dyDescent="0.3">
      <c r="A51" s="34"/>
      <c r="B51" s="35"/>
      <c r="C51" s="28"/>
      <c r="D51" s="35"/>
      <c r="E51" s="25" t="s">
        <v>652</v>
      </c>
      <c r="F51" s="25" t="s">
        <v>1075</v>
      </c>
      <c r="G51" s="25" t="s">
        <v>62</v>
      </c>
      <c r="H51" s="25">
        <v>4</v>
      </c>
      <c r="I51" s="49">
        <v>2</v>
      </c>
    </row>
    <row r="52" spans="1:9" x14ac:dyDescent="0.3">
      <c r="A52" s="34"/>
      <c r="B52" s="35"/>
      <c r="C52" s="28"/>
      <c r="D52" s="35"/>
      <c r="E52" s="25" t="s">
        <v>630</v>
      </c>
      <c r="F52" s="25" t="s">
        <v>1075</v>
      </c>
      <c r="G52" s="25" t="s">
        <v>561</v>
      </c>
      <c r="H52" s="25">
        <v>95</v>
      </c>
      <c r="I52" s="49">
        <v>45</v>
      </c>
    </row>
    <row r="53" spans="1:9" ht="15" thickBot="1" x14ac:dyDescent="0.35">
      <c r="A53" s="38"/>
      <c r="B53" s="40"/>
      <c r="C53" s="50"/>
      <c r="D53" s="40"/>
      <c r="E53" s="39" t="s">
        <v>634</v>
      </c>
      <c r="F53" s="39" t="s">
        <v>1075</v>
      </c>
      <c r="G53" s="39" t="s">
        <v>244</v>
      </c>
      <c r="H53" s="39">
        <v>36</v>
      </c>
      <c r="I53" s="51"/>
    </row>
    <row r="54" spans="1:9" x14ac:dyDescent="0.3">
      <c r="A54" s="30" t="s">
        <v>631</v>
      </c>
      <c r="B54" s="31" t="s">
        <v>55</v>
      </c>
      <c r="C54" s="47" t="s">
        <v>621</v>
      </c>
      <c r="D54" s="31" t="s">
        <v>654</v>
      </c>
      <c r="E54" s="32" t="s">
        <v>620</v>
      </c>
      <c r="F54" s="32" t="s">
        <v>626</v>
      </c>
      <c r="G54" s="32" t="s">
        <v>1074</v>
      </c>
      <c r="H54" s="32"/>
      <c r="I54" s="48"/>
    </row>
    <row r="55" spans="1:9" x14ac:dyDescent="0.3">
      <c r="A55" s="34"/>
      <c r="B55" s="35"/>
      <c r="C55" s="28"/>
      <c r="D55" s="35"/>
      <c r="E55" s="25" t="s">
        <v>652</v>
      </c>
      <c r="F55" s="25" t="s">
        <v>1075</v>
      </c>
      <c r="G55" s="25" t="s">
        <v>51</v>
      </c>
      <c r="H55" s="25">
        <v>3</v>
      </c>
      <c r="I55" s="49">
        <v>1</v>
      </c>
    </row>
    <row r="56" spans="1:9" x14ac:dyDescent="0.3">
      <c r="A56" s="34"/>
      <c r="B56" s="35"/>
      <c r="C56" s="28"/>
      <c r="D56" s="35"/>
      <c r="E56" s="25" t="s">
        <v>630</v>
      </c>
      <c r="F56" s="25" t="s">
        <v>1075</v>
      </c>
      <c r="G56" s="25" t="s">
        <v>492</v>
      </c>
      <c r="H56" s="25">
        <v>79</v>
      </c>
      <c r="I56" s="49">
        <v>38</v>
      </c>
    </row>
    <row r="57" spans="1:9" ht="15" thickBot="1" x14ac:dyDescent="0.35">
      <c r="A57" s="38"/>
      <c r="B57" s="40"/>
      <c r="C57" s="50"/>
      <c r="D57" s="40"/>
      <c r="E57" s="39" t="s">
        <v>634</v>
      </c>
      <c r="F57" s="39" t="s">
        <v>1075</v>
      </c>
      <c r="G57" s="39" t="s">
        <v>240</v>
      </c>
      <c r="H57" s="39">
        <v>35</v>
      </c>
      <c r="I57" s="51"/>
    </row>
    <row r="58" spans="1:9" x14ac:dyDescent="0.3">
      <c r="A58" s="30" t="s">
        <v>631</v>
      </c>
      <c r="B58" s="31" t="s">
        <v>133</v>
      </c>
      <c r="C58" s="47" t="s">
        <v>621</v>
      </c>
      <c r="D58" s="31" t="s">
        <v>1032</v>
      </c>
      <c r="E58" s="32" t="s">
        <v>620</v>
      </c>
      <c r="F58" s="32" t="s">
        <v>626</v>
      </c>
      <c r="G58" s="32" t="s">
        <v>1074</v>
      </c>
      <c r="H58" s="32"/>
      <c r="I58" s="48"/>
    </row>
    <row r="59" spans="1:9" x14ac:dyDescent="0.3">
      <c r="A59" s="34"/>
      <c r="B59" s="35"/>
      <c r="C59" s="28"/>
      <c r="D59" s="35"/>
      <c r="E59" s="25" t="s">
        <v>652</v>
      </c>
      <c r="F59" s="25" t="s">
        <v>1075</v>
      </c>
      <c r="G59" s="25" t="s">
        <v>235</v>
      </c>
      <c r="H59" s="25">
        <v>34</v>
      </c>
      <c r="I59" s="49"/>
    </row>
    <row r="60" spans="1:9" x14ac:dyDescent="0.3">
      <c r="A60" s="34"/>
      <c r="B60" s="35"/>
      <c r="C60" s="28"/>
      <c r="D60" s="35"/>
      <c r="E60" s="25" t="s">
        <v>630</v>
      </c>
      <c r="F60" s="25" t="s">
        <v>626</v>
      </c>
      <c r="G60" s="25" t="s">
        <v>1074</v>
      </c>
      <c r="H60" s="25"/>
      <c r="I60" s="49"/>
    </row>
    <row r="61" spans="1:9" ht="15" thickBot="1" x14ac:dyDescent="0.35">
      <c r="A61" s="38"/>
      <c r="B61" s="40"/>
      <c r="C61" s="50"/>
      <c r="D61" s="40"/>
      <c r="E61" s="39" t="s">
        <v>634</v>
      </c>
      <c r="F61" s="39" t="s">
        <v>1075</v>
      </c>
      <c r="G61" s="39" t="s">
        <v>131</v>
      </c>
      <c r="H61" s="39">
        <v>20</v>
      </c>
      <c r="I61" s="51"/>
    </row>
    <row r="62" spans="1:9" x14ac:dyDescent="0.3">
      <c r="A62" s="30" t="s">
        <v>631</v>
      </c>
      <c r="B62" s="31" t="s">
        <v>117</v>
      </c>
      <c r="C62" s="47" t="s">
        <v>621</v>
      </c>
      <c r="D62" s="31" t="s">
        <v>1022</v>
      </c>
      <c r="E62" s="32" t="s">
        <v>620</v>
      </c>
      <c r="F62" s="32" t="s">
        <v>626</v>
      </c>
      <c r="G62" s="32" t="s">
        <v>1074</v>
      </c>
      <c r="H62" s="32"/>
      <c r="I62" s="48"/>
    </row>
    <row r="63" spans="1:9" x14ac:dyDescent="0.3">
      <c r="A63" s="34"/>
      <c r="B63" s="35"/>
      <c r="C63" s="28"/>
      <c r="D63" s="35"/>
      <c r="E63" s="25" t="s">
        <v>652</v>
      </c>
      <c r="F63" s="25" t="s">
        <v>626</v>
      </c>
      <c r="G63" s="25" t="s">
        <v>1074</v>
      </c>
      <c r="H63" s="25"/>
      <c r="I63" s="49"/>
    </row>
    <row r="64" spans="1:9" x14ac:dyDescent="0.3">
      <c r="A64" s="34"/>
      <c r="B64" s="35"/>
      <c r="C64" s="28"/>
      <c r="D64" s="35"/>
      <c r="E64" s="25" t="s">
        <v>630</v>
      </c>
      <c r="F64" s="25" t="s">
        <v>1075</v>
      </c>
      <c r="G64" s="25" t="s">
        <v>231</v>
      </c>
      <c r="H64" s="25">
        <v>33</v>
      </c>
      <c r="I64" s="49">
        <v>18</v>
      </c>
    </row>
    <row r="65" spans="1:9" x14ac:dyDescent="0.3">
      <c r="A65" s="34"/>
      <c r="B65" s="35"/>
      <c r="C65" s="28"/>
      <c r="D65" s="35"/>
      <c r="E65" s="25" t="s">
        <v>634</v>
      </c>
      <c r="F65" s="25" t="s">
        <v>626</v>
      </c>
      <c r="G65" s="25" t="s">
        <v>1074</v>
      </c>
      <c r="H65" s="25"/>
      <c r="I65" s="49"/>
    </row>
    <row r="66" spans="1:9" ht="15" thickBot="1" x14ac:dyDescent="0.35">
      <c r="A66" s="38"/>
      <c r="B66" s="40"/>
      <c r="C66" s="50"/>
      <c r="D66" s="40"/>
      <c r="E66" s="39" t="s">
        <v>637</v>
      </c>
      <c r="F66" s="39" t="s">
        <v>1075</v>
      </c>
      <c r="G66" s="39" t="s">
        <v>115</v>
      </c>
      <c r="H66" s="39">
        <v>18</v>
      </c>
      <c r="I66" s="51"/>
    </row>
    <row r="67" spans="1:9" x14ac:dyDescent="0.3">
      <c r="A67" s="30" t="s">
        <v>631</v>
      </c>
      <c r="B67" s="31" t="s">
        <v>77</v>
      </c>
      <c r="C67" s="47" t="s">
        <v>621</v>
      </c>
      <c r="D67" s="31" t="s">
        <v>913</v>
      </c>
      <c r="E67" s="32" t="s">
        <v>620</v>
      </c>
      <c r="F67" s="32" t="s">
        <v>626</v>
      </c>
      <c r="G67" s="32" t="s">
        <v>1074</v>
      </c>
      <c r="H67" s="32"/>
      <c r="I67" s="48"/>
    </row>
    <row r="68" spans="1:9" x14ac:dyDescent="0.3">
      <c r="A68" s="34"/>
      <c r="B68" s="35"/>
      <c r="C68" s="28"/>
      <c r="D68" s="35"/>
      <c r="E68" s="25" t="s">
        <v>652</v>
      </c>
      <c r="F68" s="25" t="s">
        <v>1075</v>
      </c>
      <c r="G68" s="25" t="s">
        <v>248</v>
      </c>
      <c r="H68" s="25">
        <v>39</v>
      </c>
      <c r="I68" s="49">
        <v>19</v>
      </c>
    </row>
    <row r="69" spans="1:9" x14ac:dyDescent="0.3">
      <c r="A69" s="34"/>
      <c r="B69" s="35"/>
      <c r="C69" s="28"/>
      <c r="D69" s="35"/>
      <c r="E69" s="25" t="s">
        <v>630</v>
      </c>
      <c r="F69" s="25" t="s">
        <v>1075</v>
      </c>
      <c r="G69" s="25" t="s">
        <v>417</v>
      </c>
      <c r="H69" s="25">
        <v>67</v>
      </c>
      <c r="I69" s="49">
        <v>32</v>
      </c>
    </row>
    <row r="70" spans="1:9" x14ac:dyDescent="0.3">
      <c r="A70" s="34"/>
      <c r="B70" s="35"/>
      <c r="C70" s="28"/>
      <c r="D70" s="35"/>
      <c r="E70" s="25" t="s">
        <v>634</v>
      </c>
      <c r="F70" s="25" t="s">
        <v>1075</v>
      </c>
      <c r="G70" s="25" t="s">
        <v>139</v>
      </c>
      <c r="H70" s="25">
        <v>21</v>
      </c>
      <c r="I70" s="49"/>
    </row>
    <row r="71" spans="1:9" x14ac:dyDescent="0.3">
      <c r="A71" s="34"/>
      <c r="B71" s="35"/>
      <c r="C71" s="28"/>
      <c r="D71" s="35"/>
      <c r="E71" s="25" t="s">
        <v>637</v>
      </c>
      <c r="F71" s="25" t="s">
        <v>1075</v>
      </c>
      <c r="G71" s="25" t="s">
        <v>74</v>
      </c>
      <c r="H71" s="25">
        <v>5</v>
      </c>
      <c r="I71" s="49"/>
    </row>
    <row r="72" spans="1:9" ht="15" thickBot="1" x14ac:dyDescent="0.35">
      <c r="A72" s="38"/>
      <c r="B72" s="40"/>
      <c r="C72" s="50"/>
      <c r="D72" s="40"/>
      <c r="E72" s="39" t="s">
        <v>640</v>
      </c>
      <c r="F72" s="39" t="s">
        <v>646</v>
      </c>
      <c r="G72" s="39" t="s">
        <v>1082</v>
      </c>
      <c r="H72" s="39"/>
      <c r="I72" s="51"/>
    </row>
    <row r="73" spans="1:9" x14ac:dyDescent="0.3">
      <c r="A73" s="30" t="s">
        <v>631</v>
      </c>
      <c r="B73" s="31" t="s">
        <v>89</v>
      </c>
      <c r="C73" s="47" t="s">
        <v>621</v>
      </c>
      <c r="D73" s="31" t="s">
        <v>1034</v>
      </c>
      <c r="E73" s="32" t="s">
        <v>620</v>
      </c>
      <c r="F73" s="32" t="s">
        <v>626</v>
      </c>
      <c r="G73" s="32" t="s">
        <v>1074</v>
      </c>
      <c r="H73" s="32"/>
      <c r="I73" s="48"/>
    </row>
    <row r="74" spans="1:9" x14ac:dyDescent="0.3">
      <c r="A74" s="34"/>
      <c r="B74" s="35"/>
      <c r="C74" s="28"/>
      <c r="D74" s="35"/>
      <c r="E74" s="25" t="s">
        <v>652</v>
      </c>
      <c r="F74" s="25" t="s">
        <v>1075</v>
      </c>
      <c r="G74" s="25" t="s">
        <v>171</v>
      </c>
      <c r="H74" s="25">
        <v>25</v>
      </c>
      <c r="I74" s="49"/>
    </row>
    <row r="75" spans="1:9" ht="15" thickBot="1" x14ac:dyDescent="0.35">
      <c r="A75" s="38"/>
      <c r="B75" s="40"/>
      <c r="C75" s="50"/>
      <c r="D75" s="40"/>
      <c r="E75" s="39" t="s">
        <v>630</v>
      </c>
      <c r="F75" s="39" t="s">
        <v>1075</v>
      </c>
      <c r="G75" s="39" t="s">
        <v>85</v>
      </c>
      <c r="H75" s="39">
        <v>6</v>
      </c>
      <c r="I75" s="51"/>
    </row>
    <row r="76" spans="1:9" x14ac:dyDescent="0.3">
      <c r="A76" s="30" t="s">
        <v>631</v>
      </c>
      <c r="B76" s="31" t="s">
        <v>78</v>
      </c>
      <c r="C76" s="47" t="s">
        <v>621</v>
      </c>
      <c r="D76" s="31" t="s">
        <v>1036</v>
      </c>
      <c r="E76" s="32" t="s">
        <v>620</v>
      </c>
      <c r="F76" s="32" t="s">
        <v>626</v>
      </c>
      <c r="G76" s="32" t="s">
        <v>1074</v>
      </c>
      <c r="H76" s="32"/>
      <c r="I76" s="48"/>
    </row>
    <row r="77" spans="1:9" x14ac:dyDescent="0.3">
      <c r="A77" s="34"/>
      <c r="B77" s="35"/>
      <c r="C77" s="28"/>
      <c r="D77" s="35"/>
      <c r="E77" s="25" t="s">
        <v>652</v>
      </c>
      <c r="F77" s="25" t="s">
        <v>1075</v>
      </c>
      <c r="G77" s="25" t="s">
        <v>163</v>
      </c>
      <c r="H77" s="25">
        <v>24</v>
      </c>
      <c r="I77" s="49"/>
    </row>
    <row r="78" spans="1:9" ht="15" thickBot="1" x14ac:dyDescent="0.35">
      <c r="A78" s="38"/>
      <c r="B78" s="40"/>
      <c r="C78" s="50"/>
      <c r="D78" s="40"/>
      <c r="E78" s="39" t="s">
        <v>630</v>
      </c>
      <c r="F78" s="39" t="s">
        <v>1075</v>
      </c>
      <c r="G78" s="39" t="s">
        <v>74</v>
      </c>
      <c r="H78" s="39">
        <v>5</v>
      </c>
      <c r="I78" s="51"/>
    </row>
    <row r="79" spans="1:9" x14ac:dyDescent="0.3">
      <c r="A79" s="30" t="s">
        <v>631</v>
      </c>
      <c r="B79" s="31" t="s">
        <v>42</v>
      </c>
      <c r="C79" s="47" t="s">
        <v>621</v>
      </c>
      <c r="D79" s="31" t="s">
        <v>983</v>
      </c>
      <c r="E79" s="32" t="s">
        <v>620</v>
      </c>
      <c r="F79" s="32" t="s">
        <v>626</v>
      </c>
      <c r="G79" s="32" t="s">
        <v>1074</v>
      </c>
      <c r="H79" s="32"/>
      <c r="I79" s="48"/>
    </row>
    <row r="80" spans="1:9" x14ac:dyDescent="0.3">
      <c r="A80" s="34"/>
      <c r="B80" s="35"/>
      <c r="C80" s="28"/>
      <c r="D80" s="35"/>
      <c r="E80" s="25" t="s">
        <v>652</v>
      </c>
      <c r="F80" s="25" t="s">
        <v>1075</v>
      </c>
      <c r="G80" s="25" t="s">
        <v>38</v>
      </c>
      <c r="H80" s="25">
        <v>2</v>
      </c>
      <c r="I80" s="49"/>
    </row>
    <row r="81" spans="1:9" x14ac:dyDescent="0.3">
      <c r="A81" s="34"/>
      <c r="B81" s="35"/>
      <c r="C81" s="28"/>
      <c r="D81" s="35"/>
      <c r="E81" s="25" t="s">
        <v>630</v>
      </c>
      <c r="F81" s="25" t="s">
        <v>1075</v>
      </c>
      <c r="G81" s="25" t="s">
        <v>324</v>
      </c>
      <c r="H81" s="25">
        <v>50</v>
      </c>
      <c r="I81" s="49"/>
    </row>
    <row r="82" spans="1:9" ht="15" thickBot="1" x14ac:dyDescent="0.35">
      <c r="A82" s="38"/>
      <c r="B82" s="40"/>
      <c r="C82" s="50"/>
      <c r="D82" s="40"/>
      <c r="E82" s="39" t="s">
        <v>634</v>
      </c>
      <c r="F82" s="25" t="s">
        <v>626</v>
      </c>
      <c r="G82" s="25" t="s">
        <v>1074</v>
      </c>
      <c r="H82" s="39"/>
      <c r="I82" s="51"/>
    </row>
    <row r="83" spans="1:9" x14ac:dyDescent="0.3">
      <c r="A83" s="30" t="s">
        <v>631</v>
      </c>
      <c r="B83" s="31" t="s">
        <v>28</v>
      </c>
      <c r="C83" s="47" t="s">
        <v>621</v>
      </c>
      <c r="D83" s="31" t="s">
        <v>985</v>
      </c>
      <c r="E83" s="32" t="s">
        <v>620</v>
      </c>
      <c r="F83" s="32" t="s">
        <v>626</v>
      </c>
      <c r="G83" s="32" t="s">
        <v>1074</v>
      </c>
      <c r="H83" s="32"/>
      <c r="I83" s="48"/>
    </row>
    <row r="84" spans="1:9" x14ac:dyDescent="0.3">
      <c r="A84" s="34"/>
      <c r="B84" s="35"/>
      <c r="C84" s="28"/>
      <c r="D84" s="35"/>
      <c r="E84" s="25" t="s">
        <v>652</v>
      </c>
      <c r="F84" s="25" t="s">
        <v>1075</v>
      </c>
      <c r="G84" s="25" t="s">
        <v>317</v>
      </c>
      <c r="H84" s="25">
        <v>49</v>
      </c>
      <c r="I84" s="49"/>
    </row>
    <row r="85" spans="1:9" ht="15" thickBot="1" x14ac:dyDescent="0.35">
      <c r="A85" s="38"/>
      <c r="B85" s="40"/>
      <c r="C85" s="50"/>
      <c r="D85" s="40"/>
      <c r="E85" s="39" t="s">
        <v>630</v>
      </c>
      <c r="F85" s="39" t="s">
        <v>1075</v>
      </c>
      <c r="G85" s="39" t="s">
        <v>23</v>
      </c>
      <c r="H85" s="39">
        <v>1</v>
      </c>
      <c r="I85" s="51"/>
    </row>
    <row r="86" spans="1:9" x14ac:dyDescent="0.3">
      <c r="A86" s="30" t="s">
        <v>631</v>
      </c>
      <c r="B86" s="31" t="s">
        <v>64</v>
      </c>
      <c r="C86" s="47" t="s">
        <v>621</v>
      </c>
      <c r="D86" s="31" t="s">
        <v>918</v>
      </c>
      <c r="E86" s="32" t="s">
        <v>620</v>
      </c>
      <c r="F86" s="32" t="s">
        <v>626</v>
      </c>
      <c r="G86" s="32" t="s">
        <v>1074</v>
      </c>
      <c r="H86" s="32"/>
      <c r="I86" s="48"/>
    </row>
    <row r="87" spans="1:9" x14ac:dyDescent="0.3">
      <c r="A87" s="34"/>
      <c r="B87" s="35"/>
      <c r="C87" s="28"/>
      <c r="D87" s="35"/>
      <c r="E87" s="25" t="s">
        <v>652</v>
      </c>
      <c r="F87" s="25" t="s">
        <v>1075</v>
      </c>
      <c r="G87" s="25" t="s">
        <v>62</v>
      </c>
      <c r="H87" s="25">
        <v>4</v>
      </c>
      <c r="I87" s="49">
        <v>2</v>
      </c>
    </row>
    <row r="88" spans="1:9" x14ac:dyDescent="0.3">
      <c r="A88" s="34"/>
      <c r="B88" s="35"/>
      <c r="C88" s="28"/>
      <c r="D88" s="35"/>
      <c r="E88" s="25" t="s">
        <v>630</v>
      </c>
      <c r="F88" s="25" t="s">
        <v>1075</v>
      </c>
      <c r="G88" s="25" t="s">
        <v>209</v>
      </c>
      <c r="H88" s="25">
        <v>30</v>
      </c>
      <c r="I88" s="49">
        <v>17</v>
      </c>
    </row>
    <row r="89" spans="1:9" x14ac:dyDescent="0.3">
      <c r="A89" s="34"/>
      <c r="B89" s="35"/>
      <c r="C89" s="28"/>
      <c r="D89" s="35"/>
      <c r="E89" s="25" t="s">
        <v>634</v>
      </c>
      <c r="F89" s="25" t="s">
        <v>1075</v>
      </c>
      <c r="G89" s="25" t="s">
        <v>411</v>
      </c>
      <c r="H89" s="25">
        <v>66</v>
      </c>
      <c r="I89" s="49"/>
    </row>
    <row r="90" spans="1:9" x14ac:dyDescent="0.3">
      <c r="A90" s="34"/>
      <c r="B90" s="35"/>
      <c r="C90" s="28"/>
      <c r="D90" s="35"/>
      <c r="E90" s="25" t="s">
        <v>637</v>
      </c>
      <c r="F90" s="25" t="s">
        <v>1075</v>
      </c>
      <c r="G90" s="25" t="s">
        <v>231</v>
      </c>
      <c r="H90" s="25">
        <v>33</v>
      </c>
      <c r="I90" s="49">
        <v>18</v>
      </c>
    </row>
    <row r="91" spans="1:9" ht="15" thickBot="1" x14ac:dyDescent="0.35">
      <c r="A91" s="38"/>
      <c r="B91" s="40"/>
      <c r="C91" s="50"/>
      <c r="D91" s="40"/>
      <c r="E91" s="39" t="s">
        <v>640</v>
      </c>
      <c r="F91" s="39" t="s">
        <v>646</v>
      </c>
      <c r="G91" s="39" t="s">
        <v>1083</v>
      </c>
      <c r="H91" s="39"/>
      <c r="I91" s="51"/>
    </row>
    <row r="92" spans="1:9" x14ac:dyDescent="0.3">
      <c r="A92" s="30" t="s">
        <v>631</v>
      </c>
      <c r="B92" s="31" t="s">
        <v>53</v>
      </c>
      <c r="C92" s="47" t="s">
        <v>621</v>
      </c>
      <c r="D92" s="31" t="s">
        <v>844</v>
      </c>
      <c r="E92" s="32" t="s">
        <v>620</v>
      </c>
      <c r="F92" s="32" t="s">
        <v>626</v>
      </c>
      <c r="G92" s="32" t="s">
        <v>1074</v>
      </c>
      <c r="H92" s="32"/>
      <c r="I92" s="48"/>
    </row>
    <row r="93" spans="1:9" x14ac:dyDescent="0.3">
      <c r="A93" s="34"/>
      <c r="B93" s="35"/>
      <c r="C93" s="28"/>
      <c r="D93" s="35"/>
      <c r="E93" s="25" t="s">
        <v>652</v>
      </c>
      <c r="F93" s="25" t="s">
        <v>1075</v>
      </c>
      <c r="G93" s="25" t="s">
        <v>406</v>
      </c>
      <c r="H93" s="25">
        <v>65</v>
      </c>
      <c r="I93" s="49"/>
    </row>
    <row r="94" spans="1:9" x14ac:dyDescent="0.3">
      <c r="A94" s="34"/>
      <c r="B94" s="35"/>
      <c r="C94" s="28"/>
      <c r="D94" s="35"/>
      <c r="E94" s="25" t="s">
        <v>630</v>
      </c>
      <c r="F94" s="25" t="s">
        <v>1075</v>
      </c>
      <c r="G94" s="25" t="s">
        <v>51</v>
      </c>
      <c r="H94" s="25">
        <v>3</v>
      </c>
      <c r="I94" s="49">
        <v>1</v>
      </c>
    </row>
    <row r="95" spans="1:9" x14ac:dyDescent="0.3">
      <c r="A95" s="34"/>
      <c r="B95" s="35"/>
      <c r="C95" s="28"/>
      <c r="D95" s="35"/>
      <c r="E95" s="25" t="s">
        <v>634</v>
      </c>
      <c r="F95" s="25" t="s">
        <v>1075</v>
      </c>
      <c r="G95" s="25" t="s">
        <v>202</v>
      </c>
      <c r="H95" s="25">
        <v>29</v>
      </c>
      <c r="I95" s="49">
        <v>16</v>
      </c>
    </row>
    <row r="96" spans="1:9" x14ac:dyDescent="0.3">
      <c r="A96" s="34"/>
      <c r="B96" s="35"/>
      <c r="C96" s="28"/>
      <c r="D96" s="35"/>
      <c r="E96" s="25" t="s">
        <v>637</v>
      </c>
      <c r="F96" s="25" t="s">
        <v>1075</v>
      </c>
      <c r="G96" s="25" t="s">
        <v>358</v>
      </c>
      <c r="H96" s="25">
        <v>54</v>
      </c>
      <c r="I96" s="49">
        <v>26</v>
      </c>
    </row>
    <row r="97" spans="1:9" x14ac:dyDescent="0.3">
      <c r="A97" s="34"/>
      <c r="B97" s="35"/>
      <c r="C97" s="28"/>
      <c r="D97" s="35"/>
      <c r="E97" s="25" t="s">
        <v>640</v>
      </c>
      <c r="F97" s="25" t="s">
        <v>1075</v>
      </c>
      <c r="G97" s="25" t="s">
        <v>526</v>
      </c>
      <c r="H97" s="25">
        <v>85</v>
      </c>
      <c r="I97" s="49"/>
    </row>
    <row r="98" spans="1:9" ht="15" thickBot="1" x14ac:dyDescent="0.35">
      <c r="A98" s="38"/>
      <c r="B98" s="40"/>
      <c r="C98" s="50"/>
      <c r="D98" s="40"/>
      <c r="E98" s="39" t="s">
        <v>642</v>
      </c>
      <c r="F98" s="39" t="s">
        <v>646</v>
      </c>
      <c r="G98" s="39" t="s">
        <v>1084</v>
      </c>
      <c r="H98" s="39"/>
      <c r="I98" s="51"/>
    </row>
    <row r="99" spans="1:9" x14ac:dyDescent="0.3">
      <c r="A99" s="30" t="s">
        <v>631</v>
      </c>
      <c r="B99" s="31" t="s">
        <v>197</v>
      </c>
      <c r="C99" s="47" t="s">
        <v>621</v>
      </c>
      <c r="D99" s="31" t="s">
        <v>871</v>
      </c>
      <c r="E99" s="32" t="s">
        <v>620</v>
      </c>
      <c r="F99" s="32" t="s">
        <v>626</v>
      </c>
      <c r="G99" s="32" t="s">
        <v>1074</v>
      </c>
      <c r="H99" s="32"/>
      <c r="I99" s="48"/>
    </row>
    <row r="100" spans="1:9" x14ac:dyDescent="0.3">
      <c r="A100" s="34"/>
      <c r="B100" s="35"/>
      <c r="C100" s="28"/>
      <c r="D100" s="35"/>
      <c r="E100" s="25" t="s">
        <v>652</v>
      </c>
      <c r="F100" s="25" t="s">
        <v>1075</v>
      </c>
      <c r="G100" s="25" t="s">
        <v>195</v>
      </c>
      <c r="H100" s="25">
        <v>28</v>
      </c>
      <c r="I100" s="49">
        <v>15</v>
      </c>
    </row>
    <row r="101" spans="1:9" x14ac:dyDescent="0.3">
      <c r="A101" s="34"/>
      <c r="B101" s="35"/>
      <c r="C101" s="28"/>
      <c r="D101" s="35"/>
      <c r="E101" s="25" t="s">
        <v>630</v>
      </c>
      <c r="F101" s="25" t="s">
        <v>1075</v>
      </c>
      <c r="G101" s="25" t="s">
        <v>401</v>
      </c>
      <c r="H101" s="25">
        <v>64</v>
      </c>
      <c r="I101" s="49"/>
    </row>
    <row r="102" spans="1:9" ht="15" thickBot="1" x14ac:dyDescent="0.35">
      <c r="A102" s="38"/>
      <c r="B102" s="40"/>
      <c r="C102" s="50"/>
      <c r="D102" s="40"/>
      <c r="E102" s="39" t="s">
        <v>634</v>
      </c>
      <c r="F102" s="39" t="s">
        <v>646</v>
      </c>
      <c r="G102" s="39" t="s">
        <v>1085</v>
      </c>
      <c r="H102" s="39"/>
      <c r="I102" s="51"/>
    </row>
    <row r="103" spans="1:9" x14ac:dyDescent="0.3">
      <c r="A103" s="30" t="s">
        <v>631</v>
      </c>
      <c r="B103" s="31" t="s">
        <v>188</v>
      </c>
      <c r="C103" s="47" t="s">
        <v>621</v>
      </c>
      <c r="D103" s="31" t="s">
        <v>876</v>
      </c>
      <c r="E103" s="32" t="s">
        <v>620</v>
      </c>
      <c r="F103" s="32" t="s">
        <v>626</v>
      </c>
      <c r="G103" s="32" t="s">
        <v>1074</v>
      </c>
      <c r="H103" s="32"/>
      <c r="I103" s="48"/>
    </row>
    <row r="104" spans="1:9" x14ac:dyDescent="0.3">
      <c r="A104" s="34"/>
      <c r="B104" s="35"/>
      <c r="C104" s="28"/>
      <c r="D104" s="35"/>
      <c r="E104" s="25" t="s">
        <v>652</v>
      </c>
      <c r="F104" s="25" t="s">
        <v>1075</v>
      </c>
      <c r="G104" s="25" t="s">
        <v>186</v>
      </c>
      <c r="H104" s="25">
        <v>27</v>
      </c>
      <c r="I104" s="49">
        <v>14</v>
      </c>
    </row>
    <row r="105" spans="1:9" x14ac:dyDescent="0.3">
      <c r="A105" s="34"/>
      <c r="B105" s="35"/>
      <c r="C105" s="28"/>
      <c r="D105" s="35"/>
      <c r="E105" s="25" t="s">
        <v>630</v>
      </c>
      <c r="F105" s="25" t="s">
        <v>1075</v>
      </c>
      <c r="G105" s="25" t="s">
        <v>395</v>
      </c>
      <c r="H105" s="25">
        <v>63</v>
      </c>
      <c r="I105" s="49"/>
    </row>
    <row r="106" spans="1:9" ht="15" thickBot="1" x14ac:dyDescent="0.35">
      <c r="A106" s="38"/>
      <c r="B106" s="40"/>
      <c r="C106" s="50"/>
      <c r="D106" s="40"/>
      <c r="E106" s="39" t="s">
        <v>634</v>
      </c>
      <c r="F106" s="39" t="s">
        <v>646</v>
      </c>
      <c r="G106" s="39" t="s">
        <v>1086</v>
      </c>
      <c r="H106" s="39"/>
      <c r="I106" s="51"/>
    </row>
    <row r="107" spans="1:9" x14ac:dyDescent="0.3">
      <c r="A107" s="30" t="s">
        <v>631</v>
      </c>
      <c r="B107" s="31" t="s">
        <v>181</v>
      </c>
      <c r="C107" s="47" t="s">
        <v>621</v>
      </c>
      <c r="D107" s="31" t="s">
        <v>834</v>
      </c>
      <c r="E107" s="32" t="s">
        <v>620</v>
      </c>
      <c r="F107" s="32" t="s">
        <v>626</v>
      </c>
      <c r="G107" s="32" t="s">
        <v>1074</v>
      </c>
      <c r="H107" s="32"/>
      <c r="I107" s="48"/>
    </row>
    <row r="108" spans="1:9" x14ac:dyDescent="0.3">
      <c r="A108" s="34"/>
      <c r="B108" s="35"/>
      <c r="C108" s="28"/>
      <c r="D108" s="35"/>
      <c r="E108" s="25" t="s">
        <v>652</v>
      </c>
      <c r="F108" s="25" t="s">
        <v>1075</v>
      </c>
      <c r="G108" s="25" t="s">
        <v>178</v>
      </c>
      <c r="H108" s="25">
        <v>26</v>
      </c>
      <c r="I108" s="49">
        <v>13</v>
      </c>
    </row>
    <row r="109" spans="1:9" s="89" customFormat="1" x14ac:dyDescent="0.3">
      <c r="A109" s="93"/>
      <c r="B109" s="94"/>
      <c r="C109" s="92"/>
      <c r="D109" s="94"/>
      <c r="E109" s="95" t="s">
        <v>630</v>
      </c>
      <c r="F109" s="95" t="s">
        <v>1075</v>
      </c>
      <c r="G109" s="95" t="s">
        <v>589</v>
      </c>
      <c r="H109" s="95"/>
      <c r="I109" s="96"/>
    </row>
    <row r="110" spans="1:9" x14ac:dyDescent="0.3">
      <c r="A110" s="34"/>
      <c r="B110" s="35"/>
      <c r="C110" s="28"/>
      <c r="D110" s="35"/>
      <c r="E110" s="25" t="s">
        <v>634</v>
      </c>
      <c r="F110" s="25" t="s">
        <v>646</v>
      </c>
      <c r="G110" s="25" t="s">
        <v>1087</v>
      </c>
      <c r="H110" s="25"/>
      <c r="I110" s="49"/>
    </row>
    <row r="111" spans="1:9" ht="15" thickBot="1" x14ac:dyDescent="0.35">
      <c r="A111" s="38"/>
      <c r="B111" s="40"/>
      <c r="C111" s="50"/>
      <c r="D111" s="40"/>
      <c r="E111" s="39" t="s">
        <v>637</v>
      </c>
      <c r="F111" s="39" t="s">
        <v>1075</v>
      </c>
      <c r="G111" s="39" t="s">
        <v>341</v>
      </c>
      <c r="H111" s="39">
        <v>52</v>
      </c>
      <c r="I111" s="51"/>
    </row>
    <row r="112" spans="1:9" x14ac:dyDescent="0.3">
      <c r="A112" s="30" t="s">
        <v>631</v>
      </c>
      <c r="B112" s="31" t="s">
        <v>158</v>
      </c>
      <c r="C112" s="47" t="s">
        <v>621</v>
      </c>
      <c r="D112" s="31" t="s">
        <v>852</v>
      </c>
      <c r="E112" s="32" t="s">
        <v>620</v>
      </c>
      <c r="F112" s="32" t="s">
        <v>626</v>
      </c>
      <c r="G112" s="32" t="s">
        <v>1074</v>
      </c>
      <c r="H112" s="32"/>
      <c r="I112" s="48"/>
    </row>
    <row r="113" spans="1:9" x14ac:dyDescent="0.3">
      <c r="A113" s="34"/>
      <c r="B113" s="35"/>
      <c r="C113" s="28"/>
      <c r="D113" s="35"/>
      <c r="E113" s="25" t="s">
        <v>652</v>
      </c>
      <c r="F113" s="25" t="s">
        <v>1075</v>
      </c>
      <c r="G113" s="25" t="s">
        <v>156</v>
      </c>
      <c r="H113" s="25">
        <v>23</v>
      </c>
      <c r="I113" s="49">
        <v>12</v>
      </c>
    </row>
    <row r="114" spans="1:9" x14ac:dyDescent="0.3">
      <c r="A114" s="34"/>
      <c r="B114" s="35"/>
      <c r="C114" s="28"/>
      <c r="D114" s="35"/>
      <c r="E114" s="25" t="s">
        <v>630</v>
      </c>
      <c r="F114" s="25" t="s">
        <v>1075</v>
      </c>
      <c r="G114" s="25" t="s">
        <v>392</v>
      </c>
      <c r="H114" s="25">
        <v>59</v>
      </c>
      <c r="I114" s="49"/>
    </row>
    <row r="115" spans="1:9" x14ac:dyDescent="0.3">
      <c r="A115" s="34"/>
      <c r="B115" s="35"/>
      <c r="C115" s="28"/>
      <c r="D115" s="35"/>
      <c r="E115" s="25" t="s">
        <v>634</v>
      </c>
      <c r="F115" s="25" t="s">
        <v>1075</v>
      </c>
      <c r="G115" s="25" t="s">
        <v>351</v>
      </c>
      <c r="H115" s="25">
        <v>53</v>
      </c>
      <c r="I115" s="49">
        <v>25</v>
      </c>
    </row>
    <row r="116" spans="1:9" ht="15" thickBot="1" x14ac:dyDescent="0.35">
      <c r="A116" s="38"/>
      <c r="B116" s="40"/>
      <c r="C116" s="50"/>
      <c r="D116" s="40"/>
      <c r="E116" s="39" t="s">
        <v>637</v>
      </c>
      <c r="F116" s="39" t="s">
        <v>646</v>
      </c>
      <c r="G116" s="39" t="s">
        <v>1088</v>
      </c>
      <c r="H116" s="39"/>
      <c r="I116" s="51"/>
    </row>
    <row r="117" spans="1:9" x14ac:dyDescent="0.3">
      <c r="A117" s="30" t="s">
        <v>631</v>
      </c>
      <c r="B117" s="31" t="s">
        <v>312</v>
      </c>
      <c r="C117" s="47" t="s">
        <v>621</v>
      </c>
      <c r="D117" s="31" t="s">
        <v>861</v>
      </c>
      <c r="E117" s="32" t="s">
        <v>620</v>
      </c>
      <c r="F117" s="32" t="s">
        <v>626</v>
      </c>
      <c r="G117" s="32" t="s">
        <v>1074</v>
      </c>
      <c r="H117" s="32"/>
      <c r="I117" s="48"/>
    </row>
    <row r="118" spans="1:9" x14ac:dyDescent="0.3">
      <c r="A118" s="34"/>
      <c r="B118" s="35"/>
      <c r="C118" s="28"/>
      <c r="D118" s="35"/>
      <c r="E118" s="25" t="s">
        <v>652</v>
      </c>
      <c r="F118" s="25" t="s">
        <v>1075</v>
      </c>
      <c r="G118" s="25" t="s">
        <v>309</v>
      </c>
      <c r="H118" s="25">
        <v>48</v>
      </c>
      <c r="I118" s="49">
        <v>24</v>
      </c>
    </row>
    <row r="119" spans="1:9" x14ac:dyDescent="0.3">
      <c r="A119" s="34"/>
      <c r="B119" s="35"/>
      <c r="C119" s="28"/>
      <c r="D119" s="35"/>
      <c r="E119" s="25" t="s">
        <v>630</v>
      </c>
      <c r="F119" s="25" t="s">
        <v>1075</v>
      </c>
      <c r="G119" s="25" t="s">
        <v>567</v>
      </c>
      <c r="H119" s="25">
        <v>96</v>
      </c>
      <c r="I119" s="49">
        <v>46</v>
      </c>
    </row>
    <row r="120" spans="1:9" ht="15" thickBot="1" x14ac:dyDescent="0.35">
      <c r="A120" s="38"/>
      <c r="B120" s="40"/>
      <c r="C120" s="50"/>
      <c r="D120" s="40"/>
      <c r="E120" s="39" t="s">
        <v>634</v>
      </c>
      <c r="F120" s="25" t="s">
        <v>626</v>
      </c>
      <c r="G120" s="25" t="s">
        <v>1074</v>
      </c>
      <c r="H120" s="39"/>
      <c r="I120" s="51"/>
    </row>
    <row r="121" spans="1:9" x14ac:dyDescent="0.3">
      <c r="A121" s="30" t="s">
        <v>631</v>
      </c>
      <c r="B121" s="31" t="s">
        <v>302</v>
      </c>
      <c r="C121" s="47" t="s">
        <v>621</v>
      </c>
      <c r="D121" s="31" t="s">
        <v>669</v>
      </c>
      <c r="E121" s="32" t="s">
        <v>620</v>
      </c>
      <c r="F121" s="32" t="s">
        <v>626</v>
      </c>
      <c r="G121" s="32" t="s">
        <v>1074</v>
      </c>
      <c r="H121" s="32"/>
      <c r="I121" s="48"/>
    </row>
    <row r="122" spans="1:9" x14ac:dyDescent="0.3">
      <c r="A122" s="34"/>
      <c r="B122" s="35"/>
      <c r="C122" s="28"/>
      <c r="D122" s="35"/>
      <c r="E122" s="25" t="s">
        <v>652</v>
      </c>
      <c r="F122" s="25" t="s">
        <v>1075</v>
      </c>
      <c r="G122" s="25" t="s">
        <v>485</v>
      </c>
      <c r="H122" s="25">
        <v>78</v>
      </c>
      <c r="I122" s="49">
        <v>37</v>
      </c>
    </row>
    <row r="123" spans="1:9" x14ac:dyDescent="0.3">
      <c r="A123" s="34"/>
      <c r="B123" s="35"/>
      <c r="C123" s="28"/>
      <c r="D123" s="35"/>
      <c r="E123" s="25" t="s">
        <v>630</v>
      </c>
      <c r="F123" s="25" t="s">
        <v>1075</v>
      </c>
      <c r="G123" s="25" t="s">
        <v>300</v>
      </c>
      <c r="H123" s="25">
        <v>47</v>
      </c>
      <c r="I123" s="49">
        <v>23</v>
      </c>
    </row>
    <row r="124" spans="1:9" ht="15" thickBot="1" x14ac:dyDescent="0.35">
      <c r="A124" s="38"/>
      <c r="B124" s="40"/>
      <c r="C124" s="50"/>
      <c r="D124" s="40"/>
      <c r="E124" s="39" t="s">
        <v>634</v>
      </c>
      <c r="F124" s="39" t="s">
        <v>646</v>
      </c>
      <c r="G124" s="39" t="s">
        <v>1089</v>
      </c>
      <c r="H124" s="39"/>
      <c r="I124" s="51"/>
    </row>
    <row r="125" spans="1:9" x14ac:dyDescent="0.3">
      <c r="A125" s="30" t="s">
        <v>641</v>
      </c>
      <c r="B125" s="31" t="s">
        <v>344</v>
      </c>
      <c r="C125" s="47" t="s">
        <v>621</v>
      </c>
      <c r="D125" s="31" t="s">
        <v>655</v>
      </c>
      <c r="E125" s="32" t="s">
        <v>620</v>
      </c>
      <c r="F125" s="32" t="s">
        <v>626</v>
      </c>
      <c r="G125" s="32" t="s">
        <v>1074</v>
      </c>
      <c r="H125" s="32"/>
      <c r="I125" s="48"/>
    </row>
    <row r="126" spans="1:9" x14ac:dyDescent="0.3">
      <c r="A126" s="34"/>
      <c r="B126" s="35"/>
      <c r="C126" s="28"/>
      <c r="D126" s="35"/>
      <c r="E126" s="25" t="s">
        <v>652</v>
      </c>
      <c r="F126" s="25" t="s">
        <v>626</v>
      </c>
      <c r="G126" s="25" t="s">
        <v>1074</v>
      </c>
      <c r="H126" s="25"/>
      <c r="I126" s="49"/>
    </row>
    <row r="127" spans="1:9" x14ac:dyDescent="0.3">
      <c r="A127" s="34"/>
      <c r="B127" s="35"/>
      <c r="C127" s="28"/>
      <c r="D127" s="35"/>
      <c r="E127" s="25" t="s">
        <v>630</v>
      </c>
      <c r="F127" s="25" t="s">
        <v>626</v>
      </c>
      <c r="G127" s="25" t="s">
        <v>1074</v>
      </c>
      <c r="H127" s="25"/>
      <c r="I127" s="49"/>
    </row>
    <row r="128" spans="1:9" x14ac:dyDescent="0.3">
      <c r="A128" s="34"/>
      <c r="B128" s="35"/>
      <c r="C128" s="28"/>
      <c r="D128" s="35"/>
      <c r="E128" s="25" t="s">
        <v>634</v>
      </c>
      <c r="F128" s="25" t="s">
        <v>1075</v>
      </c>
      <c r="G128" s="25" t="s">
        <v>492</v>
      </c>
      <c r="H128" s="25">
        <v>79</v>
      </c>
      <c r="I128" s="49">
        <v>38</v>
      </c>
    </row>
    <row r="129" spans="1:9" x14ac:dyDescent="0.3">
      <c r="A129" s="34"/>
      <c r="B129" s="35"/>
      <c r="C129" s="28"/>
      <c r="D129" s="35"/>
      <c r="E129" s="25" t="s">
        <v>637</v>
      </c>
      <c r="F129" s="25" t="s">
        <v>626</v>
      </c>
      <c r="G129" s="25" t="s">
        <v>1074</v>
      </c>
      <c r="H129" s="25"/>
      <c r="I129" s="49"/>
    </row>
    <row r="130" spans="1:9" x14ac:dyDescent="0.3">
      <c r="A130" s="34"/>
      <c r="B130" s="35"/>
      <c r="C130" s="28"/>
      <c r="D130" s="35"/>
      <c r="E130" s="25" t="s">
        <v>640</v>
      </c>
      <c r="F130" s="25" t="s">
        <v>626</v>
      </c>
      <c r="G130" s="25" t="s">
        <v>1074</v>
      </c>
      <c r="H130" s="25"/>
      <c r="I130" s="49"/>
    </row>
    <row r="131" spans="1:9" ht="15" thickBot="1" x14ac:dyDescent="0.35">
      <c r="A131" s="38"/>
      <c r="B131" s="40"/>
      <c r="C131" s="50"/>
      <c r="D131" s="40"/>
      <c r="E131" s="39" t="s">
        <v>642</v>
      </c>
      <c r="F131" s="39" t="s">
        <v>1075</v>
      </c>
      <c r="G131" s="39" t="s">
        <v>341</v>
      </c>
      <c r="H131" s="39">
        <v>52</v>
      </c>
      <c r="I131" s="51"/>
    </row>
    <row r="132" spans="1:9" x14ac:dyDescent="0.3">
      <c r="A132" s="30" t="s">
        <v>641</v>
      </c>
      <c r="B132" s="31" t="s">
        <v>199</v>
      </c>
      <c r="C132" s="47" t="s">
        <v>621</v>
      </c>
      <c r="D132" s="31" t="s">
        <v>872</v>
      </c>
      <c r="E132" s="32" t="s">
        <v>620</v>
      </c>
      <c r="F132" s="32" t="s">
        <v>626</v>
      </c>
      <c r="G132" s="32" t="s">
        <v>1074</v>
      </c>
      <c r="H132" s="32"/>
      <c r="I132" s="48"/>
    </row>
    <row r="133" spans="1:9" x14ac:dyDescent="0.3">
      <c r="A133" s="34"/>
      <c r="B133" s="35"/>
      <c r="C133" s="28"/>
      <c r="D133" s="35"/>
      <c r="E133" s="25" t="s">
        <v>652</v>
      </c>
      <c r="F133" s="25" t="s">
        <v>626</v>
      </c>
      <c r="G133" s="25" t="s">
        <v>1074</v>
      </c>
      <c r="H133" s="25"/>
      <c r="I133" s="49"/>
    </row>
    <row r="134" spans="1:9" x14ac:dyDescent="0.3">
      <c r="A134" s="34"/>
      <c r="B134" s="35"/>
      <c r="C134" s="28"/>
      <c r="D134" s="35"/>
      <c r="E134" s="25" t="s">
        <v>630</v>
      </c>
      <c r="F134" s="25" t="s">
        <v>1075</v>
      </c>
      <c r="G134" s="25" t="s">
        <v>244</v>
      </c>
      <c r="H134" s="25">
        <v>36</v>
      </c>
      <c r="I134" s="49"/>
    </row>
    <row r="135" spans="1:9" x14ac:dyDescent="0.3">
      <c r="A135" s="34"/>
      <c r="B135" s="35"/>
      <c r="C135" s="28"/>
      <c r="D135" s="35"/>
      <c r="E135" s="25" t="s">
        <v>634</v>
      </c>
      <c r="F135" s="25" t="s">
        <v>626</v>
      </c>
      <c r="G135" s="25" t="s">
        <v>1074</v>
      </c>
      <c r="H135" s="25"/>
      <c r="I135" s="49"/>
    </row>
    <row r="136" spans="1:9" x14ac:dyDescent="0.3">
      <c r="A136" s="34"/>
      <c r="B136" s="35"/>
      <c r="C136" s="28"/>
      <c r="D136" s="35"/>
      <c r="E136" s="25" t="s">
        <v>637</v>
      </c>
      <c r="F136" s="25" t="s">
        <v>626</v>
      </c>
      <c r="G136" s="25" t="s">
        <v>1074</v>
      </c>
      <c r="H136" s="25"/>
      <c r="I136" s="49"/>
    </row>
    <row r="137" spans="1:9" x14ac:dyDescent="0.3">
      <c r="A137" s="34"/>
      <c r="B137" s="35"/>
      <c r="C137" s="28"/>
      <c r="D137" s="35"/>
      <c r="E137" s="25" t="s">
        <v>640</v>
      </c>
      <c r="F137" s="25" t="s">
        <v>646</v>
      </c>
      <c r="G137" s="25" t="s">
        <v>1090</v>
      </c>
      <c r="H137" s="25"/>
      <c r="I137" s="49"/>
    </row>
    <row r="138" spans="1:9" ht="15" thickBot="1" x14ac:dyDescent="0.35">
      <c r="A138" s="38"/>
      <c r="B138" s="40"/>
      <c r="C138" s="50"/>
      <c r="D138" s="40"/>
      <c r="E138" s="39" t="s">
        <v>642</v>
      </c>
      <c r="F138" s="39" t="s">
        <v>1075</v>
      </c>
      <c r="G138" s="39" t="s">
        <v>195</v>
      </c>
      <c r="H138" s="39">
        <v>28</v>
      </c>
      <c r="I138" s="51">
        <v>15</v>
      </c>
    </row>
    <row r="139" spans="1:9" x14ac:dyDescent="0.3">
      <c r="A139" s="30" t="s">
        <v>641</v>
      </c>
      <c r="B139" s="31" t="s">
        <v>191</v>
      </c>
      <c r="C139" s="47" t="s">
        <v>621</v>
      </c>
      <c r="D139" s="31" t="s">
        <v>745</v>
      </c>
      <c r="E139" s="32" t="s">
        <v>620</v>
      </c>
      <c r="F139" s="32" t="s">
        <v>626</v>
      </c>
      <c r="G139" s="32" t="s">
        <v>1074</v>
      </c>
      <c r="H139" s="32"/>
      <c r="I139" s="48"/>
    </row>
    <row r="140" spans="1:9" x14ac:dyDescent="0.3">
      <c r="A140" s="34"/>
      <c r="B140" s="35"/>
      <c r="C140" s="28"/>
      <c r="D140" s="35"/>
      <c r="E140" s="25" t="s">
        <v>652</v>
      </c>
      <c r="F140" s="25" t="s">
        <v>1075</v>
      </c>
      <c r="G140" s="25" t="s">
        <v>380</v>
      </c>
      <c r="H140" s="25">
        <v>57</v>
      </c>
      <c r="I140" s="49">
        <v>29</v>
      </c>
    </row>
    <row r="141" spans="1:9" x14ac:dyDescent="0.3">
      <c r="A141" s="34"/>
      <c r="B141" s="35"/>
      <c r="C141" s="28"/>
      <c r="D141" s="35"/>
      <c r="E141" s="25" t="s">
        <v>630</v>
      </c>
      <c r="F141" s="25" t="s">
        <v>626</v>
      </c>
      <c r="G141" s="25" t="s">
        <v>1074</v>
      </c>
      <c r="H141" s="25"/>
      <c r="I141" s="49"/>
    </row>
    <row r="142" spans="1:9" x14ac:dyDescent="0.3">
      <c r="A142" s="34"/>
      <c r="B142" s="35"/>
      <c r="C142" s="28"/>
      <c r="D142" s="35"/>
      <c r="E142" s="25" t="s">
        <v>634</v>
      </c>
      <c r="F142" s="25" t="s">
        <v>626</v>
      </c>
      <c r="G142" s="25" t="s">
        <v>1074</v>
      </c>
      <c r="H142" s="25"/>
      <c r="I142" s="49"/>
    </row>
    <row r="143" spans="1:9" x14ac:dyDescent="0.3">
      <c r="A143" s="34"/>
      <c r="B143" s="35"/>
      <c r="C143" s="28"/>
      <c r="D143" s="35"/>
      <c r="E143" s="25" t="s">
        <v>637</v>
      </c>
      <c r="F143" s="25" t="s">
        <v>646</v>
      </c>
      <c r="G143" s="25" t="s">
        <v>1091</v>
      </c>
      <c r="H143" s="25"/>
      <c r="I143" s="49"/>
    </row>
    <row r="144" spans="1:9" ht="15" thickBot="1" x14ac:dyDescent="0.35">
      <c r="A144" s="38"/>
      <c r="B144" s="40"/>
      <c r="C144" s="50"/>
      <c r="D144" s="40"/>
      <c r="E144" s="39" t="s">
        <v>640</v>
      </c>
      <c r="F144" s="39" t="s">
        <v>1075</v>
      </c>
      <c r="G144" s="39" t="s">
        <v>186</v>
      </c>
      <c r="H144" s="39">
        <v>27</v>
      </c>
      <c r="I144" s="51">
        <v>14</v>
      </c>
    </row>
    <row r="145" spans="1:9" x14ac:dyDescent="0.3">
      <c r="A145" s="30" t="s">
        <v>641</v>
      </c>
      <c r="B145" s="31" t="s">
        <v>227</v>
      </c>
      <c r="C145" s="47" t="s">
        <v>621</v>
      </c>
      <c r="D145" s="31" t="s">
        <v>758</v>
      </c>
      <c r="E145" s="32" t="s">
        <v>620</v>
      </c>
      <c r="F145" s="32" t="s">
        <v>626</v>
      </c>
      <c r="G145" s="32" t="s">
        <v>1074</v>
      </c>
      <c r="H145" s="32"/>
      <c r="I145" s="48"/>
    </row>
    <row r="146" spans="1:9" x14ac:dyDescent="0.3">
      <c r="A146" s="34"/>
      <c r="B146" s="35"/>
      <c r="C146" s="28"/>
      <c r="D146" s="35"/>
      <c r="E146" s="25" t="s">
        <v>652</v>
      </c>
      <c r="F146" s="25" t="s">
        <v>626</v>
      </c>
      <c r="G146" s="25" t="s">
        <v>1074</v>
      </c>
      <c r="H146" s="25"/>
      <c r="I146" s="49"/>
    </row>
    <row r="147" spans="1:9" x14ac:dyDescent="0.3">
      <c r="A147" s="34"/>
      <c r="B147" s="35"/>
      <c r="C147" s="28"/>
      <c r="D147" s="35"/>
      <c r="E147" s="25" t="s">
        <v>630</v>
      </c>
      <c r="F147" s="25" t="s">
        <v>1075</v>
      </c>
      <c r="G147" s="25" t="s">
        <v>585</v>
      </c>
      <c r="H147" s="25">
        <v>100</v>
      </c>
      <c r="I147" s="49"/>
    </row>
    <row r="148" spans="1:9" x14ac:dyDescent="0.3">
      <c r="A148" s="34"/>
      <c r="B148" s="35"/>
      <c r="C148" s="28"/>
      <c r="D148" s="35"/>
      <c r="E148" s="25" t="s">
        <v>634</v>
      </c>
      <c r="F148" s="25" t="s">
        <v>626</v>
      </c>
      <c r="G148" s="25" t="s">
        <v>1074</v>
      </c>
      <c r="H148" s="25"/>
      <c r="I148" s="49"/>
    </row>
    <row r="149" spans="1:9" x14ac:dyDescent="0.3">
      <c r="A149" s="34"/>
      <c r="B149" s="35"/>
      <c r="C149" s="28"/>
      <c r="D149" s="35"/>
      <c r="E149" s="25" t="s">
        <v>637</v>
      </c>
      <c r="F149" s="25" t="s">
        <v>626</v>
      </c>
      <c r="G149" s="25" t="s">
        <v>1074</v>
      </c>
      <c r="H149" s="25"/>
      <c r="I149" s="49"/>
    </row>
    <row r="150" spans="1:9" x14ac:dyDescent="0.3">
      <c r="A150" s="34"/>
      <c r="B150" s="35"/>
      <c r="C150" s="28"/>
      <c r="D150" s="35"/>
      <c r="E150" s="25" t="s">
        <v>640</v>
      </c>
      <c r="F150" s="25" t="s">
        <v>1075</v>
      </c>
      <c r="G150" s="25" t="s">
        <v>225</v>
      </c>
      <c r="H150" s="25">
        <v>32</v>
      </c>
      <c r="I150" s="49"/>
    </row>
    <row r="151" spans="1:9" ht="15" thickBot="1" x14ac:dyDescent="0.35">
      <c r="A151" s="38"/>
      <c r="B151" s="40"/>
      <c r="C151" s="50"/>
      <c r="D151" s="40"/>
      <c r="E151" s="39" t="s">
        <v>642</v>
      </c>
      <c r="F151" s="39" t="s">
        <v>646</v>
      </c>
      <c r="G151" s="39" t="s">
        <v>1092</v>
      </c>
      <c r="H151" s="39"/>
      <c r="I151" s="51"/>
    </row>
    <row r="152" spans="1:9" x14ac:dyDescent="0.3">
      <c r="A152" s="30" t="s">
        <v>641</v>
      </c>
      <c r="B152" s="31" t="s">
        <v>159</v>
      </c>
      <c r="C152" s="47" t="s">
        <v>621</v>
      </c>
      <c r="D152" s="31" t="s">
        <v>733</v>
      </c>
      <c r="E152" s="32" t="s">
        <v>620</v>
      </c>
      <c r="F152" s="32" t="s">
        <v>626</v>
      </c>
      <c r="G152" s="32" t="s">
        <v>1074</v>
      </c>
      <c r="H152" s="32"/>
      <c r="I152" s="48"/>
    </row>
    <row r="153" spans="1:9" x14ac:dyDescent="0.3">
      <c r="A153" s="34"/>
      <c r="B153" s="35"/>
      <c r="C153" s="28"/>
      <c r="D153" s="35"/>
      <c r="E153" s="25" t="s">
        <v>652</v>
      </c>
      <c r="F153" s="25" t="s">
        <v>1075</v>
      </c>
      <c r="G153" s="25" t="s">
        <v>385</v>
      </c>
      <c r="H153" s="25">
        <v>58</v>
      </c>
      <c r="I153" s="49"/>
    </row>
    <row r="154" spans="1:9" x14ac:dyDescent="0.3">
      <c r="A154" s="34"/>
      <c r="B154" s="35"/>
      <c r="C154" s="28"/>
      <c r="D154" s="35"/>
      <c r="E154" s="25" t="s">
        <v>630</v>
      </c>
      <c r="F154" s="25" t="s">
        <v>626</v>
      </c>
      <c r="G154" s="25" t="s">
        <v>1074</v>
      </c>
      <c r="H154" s="25"/>
      <c r="I154" s="49"/>
    </row>
    <row r="155" spans="1:9" x14ac:dyDescent="0.3">
      <c r="A155" s="34"/>
      <c r="B155" s="35"/>
      <c r="C155" s="28"/>
      <c r="D155" s="35"/>
      <c r="E155" s="25" t="s">
        <v>634</v>
      </c>
      <c r="F155" s="25" t="s">
        <v>626</v>
      </c>
      <c r="G155" s="25" t="s">
        <v>1074</v>
      </c>
      <c r="H155" s="25"/>
      <c r="I155" s="49"/>
    </row>
    <row r="156" spans="1:9" x14ac:dyDescent="0.3">
      <c r="A156" s="34"/>
      <c r="B156" s="35"/>
      <c r="C156" s="28"/>
      <c r="D156" s="35"/>
      <c r="E156" s="25" t="s">
        <v>637</v>
      </c>
      <c r="F156" s="25" t="s">
        <v>646</v>
      </c>
      <c r="G156" s="25" t="s">
        <v>1093</v>
      </c>
      <c r="H156" s="25"/>
      <c r="I156" s="49"/>
    </row>
    <row r="157" spans="1:9" ht="15" thickBot="1" x14ac:dyDescent="0.35">
      <c r="A157" s="38"/>
      <c r="B157" s="40"/>
      <c r="C157" s="50"/>
      <c r="D157" s="40"/>
      <c r="E157" s="39" t="s">
        <v>640</v>
      </c>
      <c r="F157" s="39" t="s">
        <v>1075</v>
      </c>
      <c r="G157" s="39" t="s">
        <v>156</v>
      </c>
      <c r="H157" s="39">
        <v>23</v>
      </c>
      <c r="I157" s="51">
        <v>12</v>
      </c>
    </row>
    <row r="158" spans="1:9" x14ac:dyDescent="0.3">
      <c r="A158" s="30" t="s">
        <v>641</v>
      </c>
      <c r="B158" s="31" t="s">
        <v>148</v>
      </c>
      <c r="C158" s="47" t="s">
        <v>621</v>
      </c>
      <c r="D158" s="31" t="s">
        <v>1038</v>
      </c>
      <c r="E158" s="32" t="s">
        <v>620</v>
      </c>
      <c r="F158" s="32" t="s">
        <v>626</v>
      </c>
      <c r="G158" s="32" t="s">
        <v>1074</v>
      </c>
      <c r="H158" s="32"/>
      <c r="I158" s="48"/>
    </row>
    <row r="159" spans="1:9" x14ac:dyDescent="0.3">
      <c r="A159" s="34"/>
      <c r="B159" s="35"/>
      <c r="C159" s="28"/>
      <c r="D159" s="35"/>
      <c r="E159" s="25" t="s">
        <v>652</v>
      </c>
      <c r="F159" s="25" t="s">
        <v>626</v>
      </c>
      <c r="G159" s="25" t="s">
        <v>1074</v>
      </c>
      <c r="H159" s="25"/>
      <c r="I159" s="49"/>
    </row>
    <row r="160" spans="1:9" x14ac:dyDescent="0.3">
      <c r="A160" s="34"/>
      <c r="B160" s="35"/>
      <c r="C160" s="28"/>
      <c r="D160" s="35"/>
      <c r="E160" s="25" t="s">
        <v>630</v>
      </c>
      <c r="F160" s="25" t="s">
        <v>626</v>
      </c>
      <c r="G160" s="25" t="s">
        <v>1074</v>
      </c>
      <c r="H160" s="25"/>
      <c r="I160" s="49"/>
    </row>
    <row r="161" spans="1:9" x14ac:dyDescent="0.3">
      <c r="A161" s="34"/>
      <c r="B161" s="35"/>
      <c r="C161" s="28"/>
      <c r="D161" s="35"/>
      <c r="E161" s="25" t="s">
        <v>634</v>
      </c>
      <c r="F161" s="25" t="s">
        <v>626</v>
      </c>
      <c r="G161" s="25" t="s">
        <v>1074</v>
      </c>
      <c r="H161" s="25"/>
      <c r="I161" s="49"/>
    </row>
    <row r="162" spans="1:9" x14ac:dyDescent="0.3">
      <c r="A162" s="34"/>
      <c r="B162" s="35"/>
      <c r="C162" s="28"/>
      <c r="D162" s="35"/>
      <c r="E162" s="25" t="s">
        <v>637</v>
      </c>
      <c r="F162" s="25" t="s">
        <v>646</v>
      </c>
      <c r="G162" s="25" t="s">
        <v>1094</v>
      </c>
      <c r="H162" s="25"/>
      <c r="I162" s="49"/>
    </row>
    <row r="163" spans="1:9" x14ac:dyDescent="0.3">
      <c r="A163" s="34"/>
      <c r="B163" s="35"/>
      <c r="C163" s="28"/>
      <c r="D163" s="35"/>
      <c r="E163" s="25" t="s">
        <v>640</v>
      </c>
      <c r="F163" s="25" t="s">
        <v>1075</v>
      </c>
      <c r="G163" s="25" t="s">
        <v>522</v>
      </c>
      <c r="H163" s="25">
        <v>84</v>
      </c>
      <c r="I163" s="49"/>
    </row>
    <row r="164" spans="1:9" ht="15" thickBot="1" x14ac:dyDescent="0.35">
      <c r="A164" s="38"/>
      <c r="B164" s="40"/>
      <c r="C164" s="50"/>
      <c r="D164" s="40"/>
      <c r="E164" s="39" t="s">
        <v>642</v>
      </c>
      <c r="F164" s="39" t="s">
        <v>1075</v>
      </c>
      <c r="G164" s="39" t="s">
        <v>145</v>
      </c>
      <c r="H164" s="39">
        <v>22</v>
      </c>
      <c r="I164" s="51">
        <v>11</v>
      </c>
    </row>
    <row r="165" spans="1:9" x14ac:dyDescent="0.3">
      <c r="A165" s="30" t="s">
        <v>641</v>
      </c>
      <c r="B165" s="31" t="s">
        <v>142</v>
      </c>
      <c r="C165" s="47" t="s">
        <v>621</v>
      </c>
      <c r="D165" s="31" t="s">
        <v>882</v>
      </c>
      <c r="E165" s="32" t="s">
        <v>620</v>
      </c>
      <c r="F165" s="32" t="s">
        <v>626</v>
      </c>
      <c r="G165" s="32" t="s">
        <v>1074</v>
      </c>
      <c r="H165" s="32"/>
      <c r="I165" s="48"/>
    </row>
    <row r="166" spans="1:9" x14ac:dyDescent="0.3">
      <c r="A166" s="34"/>
      <c r="B166" s="35"/>
      <c r="C166" s="28"/>
      <c r="D166" s="35"/>
      <c r="E166" s="25" t="s">
        <v>652</v>
      </c>
      <c r="F166" s="25" t="s">
        <v>626</v>
      </c>
      <c r="G166" s="25" t="s">
        <v>1074</v>
      </c>
      <c r="H166" s="25"/>
      <c r="I166" s="49"/>
    </row>
    <row r="167" spans="1:9" x14ac:dyDescent="0.3">
      <c r="A167" s="34"/>
      <c r="B167" s="35"/>
      <c r="C167" s="28"/>
      <c r="D167" s="35"/>
      <c r="E167" s="25" t="s">
        <v>630</v>
      </c>
      <c r="F167" s="25" t="s">
        <v>626</v>
      </c>
      <c r="G167" s="25" t="s">
        <v>1074</v>
      </c>
      <c r="H167" s="25"/>
      <c r="I167" s="49"/>
    </row>
    <row r="168" spans="1:9" x14ac:dyDescent="0.3">
      <c r="A168" s="34"/>
      <c r="B168" s="35"/>
      <c r="C168" s="28"/>
      <c r="D168" s="35"/>
      <c r="E168" s="25" t="s">
        <v>634</v>
      </c>
      <c r="F168" s="25" t="s">
        <v>626</v>
      </c>
      <c r="G168" s="25" t="s">
        <v>1074</v>
      </c>
      <c r="H168" s="25"/>
      <c r="I168" s="49"/>
    </row>
    <row r="169" spans="1:9" x14ac:dyDescent="0.3">
      <c r="A169" s="34"/>
      <c r="B169" s="35"/>
      <c r="C169" s="28"/>
      <c r="D169" s="35"/>
      <c r="E169" s="25" t="s">
        <v>637</v>
      </c>
      <c r="F169" s="25" t="s">
        <v>626</v>
      </c>
      <c r="G169" s="25" t="s">
        <v>1074</v>
      </c>
      <c r="H169" s="25"/>
      <c r="I169" s="49"/>
    </row>
    <row r="170" spans="1:9" x14ac:dyDescent="0.3">
      <c r="A170" s="34"/>
      <c r="B170" s="35"/>
      <c r="C170" s="28"/>
      <c r="D170" s="35"/>
      <c r="E170" s="25" t="s">
        <v>640</v>
      </c>
      <c r="F170" s="25" t="s">
        <v>646</v>
      </c>
      <c r="G170" s="25" t="s">
        <v>1095</v>
      </c>
      <c r="H170" s="25"/>
      <c r="I170" s="49"/>
    </row>
    <row r="171" spans="1:9" x14ac:dyDescent="0.3">
      <c r="A171" s="34"/>
      <c r="B171" s="35"/>
      <c r="C171" s="28"/>
      <c r="D171" s="35"/>
      <c r="E171" s="25" t="s">
        <v>642</v>
      </c>
      <c r="F171" s="25" t="s">
        <v>1075</v>
      </c>
      <c r="G171" s="25" t="s">
        <v>478</v>
      </c>
      <c r="H171" s="25">
        <v>77</v>
      </c>
      <c r="I171" s="49"/>
    </row>
    <row r="172" spans="1:9" ht="15" thickBot="1" x14ac:dyDescent="0.35">
      <c r="A172" s="38"/>
      <c r="B172" s="40"/>
      <c r="C172" s="50"/>
      <c r="D172" s="40"/>
      <c r="E172" s="39" t="s">
        <v>645</v>
      </c>
      <c r="F172" s="39" t="s">
        <v>1075</v>
      </c>
      <c r="G172" s="39" t="s">
        <v>139</v>
      </c>
      <c r="H172" s="39">
        <v>21</v>
      </c>
      <c r="I172" s="51"/>
    </row>
    <row r="173" spans="1:9" x14ac:dyDescent="0.3">
      <c r="A173" s="30" t="s">
        <v>641</v>
      </c>
      <c r="B173" s="31" t="s">
        <v>473</v>
      </c>
      <c r="C173" s="47" t="s">
        <v>621</v>
      </c>
      <c r="D173" s="31" t="s">
        <v>889</v>
      </c>
      <c r="E173" s="32" t="s">
        <v>620</v>
      </c>
      <c r="F173" s="32" t="s">
        <v>626</v>
      </c>
      <c r="G173" s="32" t="s">
        <v>1074</v>
      </c>
      <c r="H173" s="32"/>
      <c r="I173" s="48"/>
    </row>
    <row r="174" spans="1:9" x14ac:dyDescent="0.3">
      <c r="A174" s="34"/>
      <c r="B174" s="35"/>
      <c r="C174" s="28"/>
      <c r="D174" s="35"/>
      <c r="E174" s="25" t="s">
        <v>652</v>
      </c>
      <c r="F174" s="25" t="s">
        <v>626</v>
      </c>
      <c r="G174" s="25" t="s">
        <v>1074</v>
      </c>
      <c r="H174" s="25"/>
      <c r="I174" s="49"/>
    </row>
    <row r="175" spans="1:9" x14ac:dyDescent="0.3">
      <c r="A175" s="34"/>
      <c r="B175" s="35"/>
      <c r="C175" s="28"/>
      <c r="D175" s="35"/>
      <c r="E175" s="25" t="s">
        <v>630</v>
      </c>
      <c r="F175" s="25" t="s">
        <v>626</v>
      </c>
      <c r="G175" s="25" t="s">
        <v>1074</v>
      </c>
      <c r="H175" s="25"/>
      <c r="I175" s="49"/>
    </row>
    <row r="176" spans="1:9" x14ac:dyDescent="0.3">
      <c r="A176" s="34"/>
      <c r="B176" s="35"/>
      <c r="C176" s="28"/>
      <c r="D176" s="35"/>
      <c r="E176" s="25" t="s">
        <v>634</v>
      </c>
      <c r="F176" s="25" t="s">
        <v>626</v>
      </c>
      <c r="G176" s="25" t="s">
        <v>1074</v>
      </c>
      <c r="H176" s="25"/>
      <c r="I176" s="49"/>
    </row>
    <row r="177" spans="1:9" x14ac:dyDescent="0.3">
      <c r="A177" s="34"/>
      <c r="B177" s="35"/>
      <c r="C177" s="28"/>
      <c r="D177" s="35"/>
      <c r="E177" s="25" t="s">
        <v>637</v>
      </c>
      <c r="F177" s="25" t="s">
        <v>626</v>
      </c>
      <c r="G177" s="25" t="s">
        <v>1074</v>
      </c>
      <c r="H177" s="25"/>
      <c r="I177" s="49"/>
    </row>
    <row r="178" spans="1:9" ht="15" thickBot="1" x14ac:dyDescent="0.35">
      <c r="A178" s="38"/>
      <c r="B178" s="40"/>
      <c r="C178" s="50"/>
      <c r="D178" s="40"/>
      <c r="E178" s="39" t="s">
        <v>640</v>
      </c>
      <c r="F178" s="39" t="s">
        <v>1075</v>
      </c>
      <c r="G178" s="39" t="s">
        <v>471</v>
      </c>
      <c r="H178" s="39">
        <v>76</v>
      </c>
      <c r="I178" s="51"/>
    </row>
    <row r="179" spans="1:9" x14ac:dyDescent="0.3">
      <c r="A179" s="30" t="s">
        <v>641</v>
      </c>
      <c r="B179" s="31" t="s">
        <v>467</v>
      </c>
      <c r="C179" s="47" t="s">
        <v>621</v>
      </c>
      <c r="D179" s="31" t="s">
        <v>893</v>
      </c>
      <c r="E179" s="32" t="s">
        <v>620</v>
      </c>
      <c r="F179" s="32" t="s">
        <v>626</v>
      </c>
      <c r="G179" s="32" t="s">
        <v>1074</v>
      </c>
      <c r="H179" s="32"/>
      <c r="I179" s="48"/>
    </row>
    <row r="180" spans="1:9" x14ac:dyDescent="0.3">
      <c r="A180" s="34"/>
      <c r="B180" s="35"/>
      <c r="C180" s="28"/>
      <c r="D180" s="35"/>
      <c r="E180" s="25" t="s">
        <v>652</v>
      </c>
      <c r="F180" s="25" t="s">
        <v>626</v>
      </c>
      <c r="G180" s="25" t="s">
        <v>1074</v>
      </c>
      <c r="H180" s="25"/>
      <c r="I180" s="49"/>
    </row>
    <row r="181" spans="1:9" x14ac:dyDescent="0.3">
      <c r="A181" s="34"/>
      <c r="B181" s="35"/>
      <c r="C181" s="28"/>
      <c r="D181" s="35"/>
      <c r="E181" s="25" t="s">
        <v>630</v>
      </c>
      <c r="F181" s="25" t="s">
        <v>626</v>
      </c>
      <c r="G181" s="25" t="s">
        <v>1074</v>
      </c>
      <c r="H181" s="25"/>
      <c r="I181" s="49"/>
    </row>
    <row r="182" spans="1:9" x14ac:dyDescent="0.3">
      <c r="A182" s="34"/>
      <c r="B182" s="35"/>
      <c r="C182" s="28"/>
      <c r="D182" s="35"/>
      <c r="E182" s="25" t="s">
        <v>634</v>
      </c>
      <c r="F182" s="25" t="s">
        <v>626</v>
      </c>
      <c r="G182" s="25" t="s">
        <v>1074</v>
      </c>
      <c r="H182" s="25"/>
      <c r="I182" s="49"/>
    </row>
    <row r="183" spans="1:9" ht="15" thickBot="1" x14ac:dyDescent="0.35">
      <c r="A183" s="38"/>
      <c r="B183" s="40"/>
      <c r="C183" s="50"/>
      <c r="D183" s="40"/>
      <c r="E183" s="39" t="s">
        <v>637</v>
      </c>
      <c r="F183" s="39" t="s">
        <v>1075</v>
      </c>
      <c r="G183" s="39" t="s">
        <v>465</v>
      </c>
      <c r="H183" s="39">
        <v>75</v>
      </c>
      <c r="I183" s="51"/>
    </row>
    <row r="184" spans="1:9" x14ac:dyDescent="0.3">
      <c r="A184" s="30" t="s">
        <v>641</v>
      </c>
      <c r="B184" s="31" t="s">
        <v>460</v>
      </c>
      <c r="C184" s="47" t="s">
        <v>621</v>
      </c>
      <c r="D184" s="31" t="s">
        <v>898</v>
      </c>
      <c r="E184" s="32" t="s">
        <v>620</v>
      </c>
      <c r="F184" s="32" t="s">
        <v>626</v>
      </c>
      <c r="G184" s="32" t="s">
        <v>1074</v>
      </c>
      <c r="H184" s="32"/>
      <c r="I184" s="48"/>
    </row>
    <row r="185" spans="1:9" x14ac:dyDescent="0.3">
      <c r="A185" s="34"/>
      <c r="B185" s="35"/>
      <c r="C185" s="28"/>
      <c r="D185" s="35"/>
      <c r="E185" s="25" t="s">
        <v>652</v>
      </c>
      <c r="F185" s="25" t="s">
        <v>626</v>
      </c>
      <c r="G185" s="25" t="s">
        <v>1074</v>
      </c>
      <c r="H185" s="25"/>
      <c r="I185" s="49"/>
    </row>
    <row r="186" spans="1:9" x14ac:dyDescent="0.3">
      <c r="A186" s="34"/>
      <c r="B186" s="35"/>
      <c r="C186" s="28"/>
      <c r="D186" s="35"/>
      <c r="E186" s="25" t="s">
        <v>630</v>
      </c>
      <c r="F186" s="25" t="s">
        <v>626</v>
      </c>
      <c r="G186" s="25" t="s">
        <v>1074</v>
      </c>
      <c r="H186" s="25"/>
      <c r="I186" s="49"/>
    </row>
    <row r="187" spans="1:9" x14ac:dyDescent="0.3">
      <c r="A187" s="34"/>
      <c r="B187" s="35"/>
      <c r="C187" s="28"/>
      <c r="D187" s="35"/>
      <c r="E187" s="25" t="s">
        <v>634</v>
      </c>
      <c r="F187" s="25" t="s">
        <v>626</v>
      </c>
      <c r="G187" s="25" t="s">
        <v>1074</v>
      </c>
      <c r="H187" s="25"/>
      <c r="I187" s="49"/>
    </row>
    <row r="188" spans="1:9" ht="15" thickBot="1" x14ac:dyDescent="0.35">
      <c r="A188" s="38"/>
      <c r="B188" s="40"/>
      <c r="C188" s="50"/>
      <c r="D188" s="40"/>
      <c r="E188" s="39" t="s">
        <v>637</v>
      </c>
      <c r="F188" s="39" t="s">
        <v>1075</v>
      </c>
      <c r="G188" s="39" t="s">
        <v>458</v>
      </c>
      <c r="H188" s="39">
        <v>74</v>
      </c>
      <c r="I188" s="51"/>
    </row>
    <row r="189" spans="1:9" x14ac:dyDescent="0.3">
      <c r="A189" s="30" t="s">
        <v>641</v>
      </c>
      <c r="B189" s="31" t="s">
        <v>454</v>
      </c>
      <c r="C189" s="47" t="s">
        <v>621</v>
      </c>
      <c r="D189" s="31" t="s">
        <v>681</v>
      </c>
      <c r="E189" s="32" t="s">
        <v>620</v>
      </c>
      <c r="F189" s="32" t="s">
        <v>626</v>
      </c>
      <c r="G189" s="32" t="s">
        <v>1074</v>
      </c>
      <c r="H189" s="32"/>
      <c r="I189" s="48"/>
    </row>
    <row r="190" spans="1:9" x14ac:dyDescent="0.3">
      <c r="A190" s="34"/>
      <c r="B190" s="35"/>
      <c r="C190" s="28"/>
      <c r="D190" s="35"/>
      <c r="E190" s="25" t="s">
        <v>652</v>
      </c>
      <c r="F190" s="25" t="s">
        <v>626</v>
      </c>
      <c r="G190" s="25" t="s">
        <v>1074</v>
      </c>
      <c r="H190" s="25"/>
      <c r="I190" s="49"/>
    </row>
    <row r="191" spans="1:9" x14ac:dyDescent="0.3">
      <c r="A191" s="34"/>
      <c r="B191" s="35"/>
      <c r="C191" s="28"/>
      <c r="D191" s="35"/>
      <c r="E191" s="25" t="s">
        <v>630</v>
      </c>
      <c r="F191" s="25" t="s">
        <v>626</v>
      </c>
      <c r="G191" s="25" t="s">
        <v>1074</v>
      </c>
      <c r="H191" s="25"/>
      <c r="I191" s="49"/>
    </row>
    <row r="192" spans="1:9" x14ac:dyDescent="0.3">
      <c r="A192" s="34"/>
      <c r="B192" s="35"/>
      <c r="C192" s="28"/>
      <c r="D192" s="35"/>
      <c r="E192" s="25" t="s">
        <v>634</v>
      </c>
      <c r="F192" s="25" t="s">
        <v>626</v>
      </c>
      <c r="G192" s="25" t="s">
        <v>1074</v>
      </c>
      <c r="H192" s="25"/>
      <c r="I192" s="49"/>
    </row>
    <row r="193" spans="1:9" ht="15" thickBot="1" x14ac:dyDescent="0.35">
      <c r="A193" s="38"/>
      <c r="B193" s="40"/>
      <c r="C193" s="50"/>
      <c r="D193" s="40"/>
      <c r="E193" s="39" t="s">
        <v>637</v>
      </c>
      <c r="F193" s="39" t="s">
        <v>1075</v>
      </c>
      <c r="G193" s="39" t="s">
        <v>452</v>
      </c>
      <c r="H193" s="39">
        <v>73</v>
      </c>
      <c r="I193" s="51">
        <v>36</v>
      </c>
    </row>
    <row r="194" spans="1:9" x14ac:dyDescent="0.3">
      <c r="A194" s="30" t="s">
        <v>641</v>
      </c>
      <c r="B194" s="31" t="s">
        <v>334</v>
      </c>
      <c r="C194" s="47" t="s">
        <v>621</v>
      </c>
      <c r="D194" s="31" t="s">
        <v>787</v>
      </c>
      <c r="E194" s="32" t="s">
        <v>620</v>
      </c>
      <c r="F194" s="32" t="s">
        <v>626</v>
      </c>
      <c r="G194" s="32" t="s">
        <v>1074</v>
      </c>
      <c r="H194" s="32"/>
      <c r="I194" s="48"/>
    </row>
    <row r="195" spans="1:9" x14ac:dyDescent="0.3">
      <c r="A195" s="34"/>
      <c r="B195" s="35"/>
      <c r="C195" s="28"/>
      <c r="D195" s="35"/>
      <c r="E195" s="25" t="s">
        <v>652</v>
      </c>
      <c r="F195" s="25" t="s">
        <v>626</v>
      </c>
      <c r="G195" s="25" t="s">
        <v>1074</v>
      </c>
      <c r="H195" s="25"/>
      <c r="I195" s="49"/>
    </row>
    <row r="196" spans="1:9" x14ac:dyDescent="0.3">
      <c r="A196" s="34"/>
      <c r="B196" s="35"/>
      <c r="C196" s="28"/>
      <c r="D196" s="35"/>
      <c r="E196" s="25" t="s">
        <v>630</v>
      </c>
      <c r="F196" s="25" t="s">
        <v>626</v>
      </c>
      <c r="G196" s="25" t="s">
        <v>1074</v>
      </c>
      <c r="H196" s="25"/>
      <c r="I196" s="49"/>
    </row>
    <row r="197" spans="1:9" x14ac:dyDescent="0.3">
      <c r="A197" s="34"/>
      <c r="B197" s="35"/>
      <c r="C197" s="28"/>
      <c r="D197" s="35"/>
      <c r="E197" s="25" t="s">
        <v>634</v>
      </c>
      <c r="F197" s="25" t="s">
        <v>1075</v>
      </c>
      <c r="G197" s="25" t="s">
        <v>544</v>
      </c>
      <c r="H197" s="25">
        <v>91</v>
      </c>
      <c r="I197" s="49">
        <v>43</v>
      </c>
    </row>
    <row r="198" spans="1:9" x14ac:dyDescent="0.3">
      <c r="A198" s="34"/>
      <c r="B198" s="35"/>
      <c r="C198" s="28"/>
      <c r="D198" s="35"/>
      <c r="E198" s="25" t="s">
        <v>637</v>
      </c>
      <c r="F198" s="25" t="s">
        <v>626</v>
      </c>
      <c r="G198" s="25" t="s">
        <v>1074</v>
      </c>
      <c r="H198" s="25"/>
      <c r="I198" s="49"/>
    </row>
    <row r="199" spans="1:9" x14ac:dyDescent="0.3">
      <c r="A199" s="34"/>
      <c r="B199" s="35"/>
      <c r="C199" s="28"/>
      <c r="D199" s="35"/>
      <c r="E199" s="25" t="s">
        <v>640</v>
      </c>
      <c r="F199" s="25" t="s">
        <v>626</v>
      </c>
      <c r="G199" s="25" t="s">
        <v>1074</v>
      </c>
      <c r="H199" s="25"/>
      <c r="I199" s="49"/>
    </row>
    <row r="200" spans="1:9" x14ac:dyDescent="0.3">
      <c r="A200" s="34"/>
      <c r="B200" s="35"/>
      <c r="C200" s="28"/>
      <c r="D200" s="35"/>
      <c r="E200" s="25" t="s">
        <v>642</v>
      </c>
      <c r="F200" s="25" t="s">
        <v>646</v>
      </c>
      <c r="G200" s="25" t="s">
        <v>1096</v>
      </c>
      <c r="H200" s="25"/>
      <c r="I200" s="49"/>
    </row>
    <row r="201" spans="1:9" ht="15" thickBot="1" x14ac:dyDescent="0.35">
      <c r="A201" s="38"/>
      <c r="B201" s="40"/>
      <c r="C201" s="50"/>
      <c r="D201" s="40"/>
      <c r="E201" s="39" t="s">
        <v>645</v>
      </c>
      <c r="F201" s="39" t="s">
        <v>1075</v>
      </c>
      <c r="G201" s="39" t="s">
        <v>331</v>
      </c>
      <c r="H201" s="39">
        <v>51</v>
      </c>
      <c r="I201" s="51"/>
    </row>
    <row r="202" spans="1:9" x14ac:dyDescent="0.3">
      <c r="A202" s="30" t="s">
        <v>641</v>
      </c>
      <c r="B202" s="31" t="s">
        <v>448</v>
      </c>
      <c r="C202" s="47" t="s">
        <v>621</v>
      </c>
      <c r="D202" s="31" t="s">
        <v>695</v>
      </c>
      <c r="E202" s="32" t="s">
        <v>620</v>
      </c>
      <c r="F202" s="32" t="s">
        <v>626</v>
      </c>
      <c r="G202" s="32" t="s">
        <v>1074</v>
      </c>
      <c r="H202" s="32"/>
      <c r="I202" s="48"/>
    </row>
    <row r="203" spans="1:9" x14ac:dyDescent="0.3">
      <c r="A203" s="34"/>
      <c r="B203" s="35"/>
      <c r="C203" s="28"/>
      <c r="D203" s="35"/>
      <c r="E203" s="25" t="s">
        <v>652</v>
      </c>
      <c r="F203" s="25" t="s">
        <v>626</v>
      </c>
      <c r="G203" s="25" t="s">
        <v>1074</v>
      </c>
      <c r="H203" s="25"/>
      <c r="I203" s="49"/>
    </row>
    <row r="204" spans="1:9" x14ac:dyDescent="0.3">
      <c r="A204" s="34"/>
      <c r="B204" s="35"/>
      <c r="C204" s="28"/>
      <c r="D204" s="35"/>
      <c r="E204" s="25" t="s">
        <v>630</v>
      </c>
      <c r="F204" s="25" t="s">
        <v>626</v>
      </c>
      <c r="G204" s="25" t="s">
        <v>1074</v>
      </c>
      <c r="H204" s="25"/>
      <c r="I204" s="49"/>
    </row>
    <row r="205" spans="1:9" x14ac:dyDescent="0.3">
      <c r="A205" s="34"/>
      <c r="B205" s="35"/>
      <c r="C205" s="28"/>
      <c r="D205" s="35"/>
      <c r="E205" s="25" t="s">
        <v>634</v>
      </c>
      <c r="F205" s="25" t="s">
        <v>626</v>
      </c>
      <c r="G205" s="25" t="s">
        <v>1074</v>
      </c>
      <c r="H205" s="25"/>
      <c r="I205" s="49"/>
    </row>
    <row r="206" spans="1:9" ht="15" thickBot="1" x14ac:dyDescent="0.35">
      <c r="A206" s="38"/>
      <c r="B206" s="40"/>
      <c r="C206" s="50"/>
      <c r="D206" s="40"/>
      <c r="E206" s="39" t="s">
        <v>637</v>
      </c>
      <c r="F206" s="39" t="s">
        <v>1075</v>
      </c>
      <c r="G206" s="39" t="s">
        <v>446</v>
      </c>
      <c r="H206" s="39">
        <v>72</v>
      </c>
      <c r="I206" s="51">
        <v>35</v>
      </c>
    </row>
    <row r="207" spans="1:9" x14ac:dyDescent="0.3">
      <c r="A207" s="30" t="s">
        <v>641</v>
      </c>
      <c r="B207" s="31" t="s">
        <v>442</v>
      </c>
      <c r="C207" s="47" t="s">
        <v>621</v>
      </c>
      <c r="D207" s="31" t="s">
        <v>1008</v>
      </c>
      <c r="E207" s="32" t="s">
        <v>620</v>
      </c>
      <c r="F207" s="32" t="s">
        <v>626</v>
      </c>
      <c r="G207" s="32" t="s">
        <v>1074</v>
      </c>
      <c r="H207" s="32"/>
      <c r="I207" s="48"/>
    </row>
    <row r="208" spans="1:9" x14ac:dyDescent="0.3">
      <c r="A208" s="34"/>
      <c r="B208" s="35"/>
      <c r="C208" s="28"/>
      <c r="D208" s="35"/>
      <c r="E208" s="25" t="s">
        <v>652</v>
      </c>
      <c r="F208" s="25" t="s">
        <v>626</v>
      </c>
      <c r="G208" s="25" t="s">
        <v>1074</v>
      </c>
      <c r="H208" s="25"/>
      <c r="I208" s="49"/>
    </row>
    <row r="209" spans="1:9" x14ac:dyDescent="0.3">
      <c r="A209" s="34"/>
      <c r="B209" s="35"/>
      <c r="C209" s="28"/>
      <c r="D209" s="35"/>
      <c r="E209" s="25" t="s">
        <v>630</v>
      </c>
      <c r="F209" s="25" t="s">
        <v>626</v>
      </c>
      <c r="G209" s="25" t="s">
        <v>1074</v>
      </c>
      <c r="H209" s="25"/>
      <c r="I209" s="49"/>
    </row>
    <row r="210" spans="1:9" x14ac:dyDescent="0.3">
      <c r="A210" s="34"/>
      <c r="B210" s="35"/>
      <c r="C210" s="28"/>
      <c r="D210" s="35"/>
      <c r="E210" s="25" t="s">
        <v>634</v>
      </c>
      <c r="F210" s="25" t="s">
        <v>626</v>
      </c>
      <c r="G210" s="25" t="s">
        <v>1074</v>
      </c>
      <c r="H210" s="25"/>
      <c r="I210" s="49"/>
    </row>
    <row r="211" spans="1:9" ht="15" thickBot="1" x14ac:dyDescent="0.35">
      <c r="A211" s="38"/>
      <c r="B211" s="40"/>
      <c r="C211" s="50"/>
      <c r="D211" s="40"/>
      <c r="E211" s="39" t="s">
        <v>637</v>
      </c>
      <c r="F211" s="39" t="s">
        <v>1075</v>
      </c>
      <c r="G211" s="39" t="s">
        <v>440</v>
      </c>
      <c r="H211" s="39">
        <v>71</v>
      </c>
      <c r="I211" s="51">
        <v>34</v>
      </c>
    </row>
    <row r="212" spans="1:9" x14ac:dyDescent="0.3">
      <c r="A212" s="30" t="s">
        <v>641</v>
      </c>
      <c r="B212" s="31" t="s">
        <v>435</v>
      </c>
      <c r="C212" s="47" t="s">
        <v>621</v>
      </c>
      <c r="D212" s="31" t="s">
        <v>1015</v>
      </c>
      <c r="E212" s="32" t="s">
        <v>620</v>
      </c>
      <c r="F212" s="32" t="s">
        <v>626</v>
      </c>
      <c r="G212" s="32" t="s">
        <v>1074</v>
      </c>
      <c r="H212" s="32"/>
      <c r="I212" s="48"/>
    </row>
    <row r="213" spans="1:9" x14ac:dyDescent="0.3">
      <c r="A213" s="34"/>
      <c r="B213" s="35"/>
      <c r="C213" s="28"/>
      <c r="D213" s="35"/>
      <c r="E213" s="25" t="s">
        <v>652</v>
      </c>
      <c r="F213" s="25" t="s">
        <v>626</v>
      </c>
      <c r="G213" s="25" t="s">
        <v>1074</v>
      </c>
      <c r="H213" s="25"/>
      <c r="I213" s="49"/>
    </row>
    <row r="214" spans="1:9" x14ac:dyDescent="0.3">
      <c r="A214" s="34"/>
      <c r="B214" s="35"/>
      <c r="C214" s="28"/>
      <c r="D214" s="35"/>
      <c r="E214" s="25" t="s">
        <v>630</v>
      </c>
      <c r="F214" s="25" t="s">
        <v>626</v>
      </c>
      <c r="G214" s="25" t="s">
        <v>1074</v>
      </c>
      <c r="H214" s="25"/>
      <c r="I214" s="49"/>
    </row>
    <row r="215" spans="1:9" x14ac:dyDescent="0.3">
      <c r="A215" s="34"/>
      <c r="B215" s="35"/>
      <c r="C215" s="28"/>
      <c r="D215" s="35"/>
      <c r="E215" s="25" t="s">
        <v>634</v>
      </c>
      <c r="F215" s="25" t="s">
        <v>626</v>
      </c>
      <c r="G215" s="25" t="s">
        <v>1074</v>
      </c>
      <c r="H215" s="25"/>
      <c r="I215" s="49"/>
    </row>
    <row r="216" spans="1:9" ht="15" thickBot="1" x14ac:dyDescent="0.35">
      <c r="A216" s="38"/>
      <c r="B216" s="40"/>
      <c r="C216" s="50"/>
      <c r="D216" s="40"/>
      <c r="E216" s="39" t="s">
        <v>637</v>
      </c>
      <c r="F216" s="39" t="s">
        <v>1075</v>
      </c>
      <c r="G216" s="39" t="s">
        <v>433</v>
      </c>
      <c r="H216" s="39">
        <v>70</v>
      </c>
      <c r="I216" s="51">
        <v>33</v>
      </c>
    </row>
    <row r="217" spans="1:9" x14ac:dyDescent="0.3">
      <c r="A217" s="30" t="s">
        <v>641</v>
      </c>
      <c r="B217" s="31" t="s">
        <v>429</v>
      </c>
      <c r="C217" s="47" t="s">
        <v>621</v>
      </c>
      <c r="D217" s="31" t="s">
        <v>1020</v>
      </c>
      <c r="E217" s="32" t="s">
        <v>620</v>
      </c>
      <c r="F217" s="32" t="s">
        <v>626</v>
      </c>
      <c r="G217" s="32" t="s">
        <v>1074</v>
      </c>
      <c r="H217" s="32"/>
      <c r="I217" s="48"/>
    </row>
    <row r="218" spans="1:9" x14ac:dyDescent="0.3">
      <c r="A218" s="34"/>
      <c r="B218" s="35"/>
      <c r="C218" s="28"/>
      <c r="D218" s="35"/>
      <c r="E218" s="25" t="s">
        <v>652</v>
      </c>
      <c r="F218" s="25" t="s">
        <v>626</v>
      </c>
      <c r="G218" s="25" t="s">
        <v>1074</v>
      </c>
      <c r="H218" s="25"/>
      <c r="I218" s="49"/>
    </row>
    <row r="219" spans="1:9" x14ac:dyDescent="0.3">
      <c r="A219" s="34"/>
      <c r="B219" s="35"/>
      <c r="C219" s="28"/>
      <c r="D219" s="35"/>
      <c r="E219" s="25" t="s">
        <v>630</v>
      </c>
      <c r="F219" s="25" t="s">
        <v>626</v>
      </c>
      <c r="G219" s="25" t="s">
        <v>1074</v>
      </c>
      <c r="H219" s="25"/>
      <c r="I219" s="49"/>
    </row>
    <row r="220" spans="1:9" x14ac:dyDescent="0.3">
      <c r="A220" s="34"/>
      <c r="B220" s="35"/>
      <c r="C220" s="28"/>
      <c r="D220" s="35"/>
      <c r="E220" s="25" t="s">
        <v>634</v>
      </c>
      <c r="F220" s="25" t="s">
        <v>626</v>
      </c>
      <c r="G220" s="25" t="s">
        <v>1074</v>
      </c>
      <c r="H220" s="25"/>
      <c r="I220" s="49"/>
    </row>
    <row r="221" spans="1:9" ht="15" thickBot="1" x14ac:dyDescent="0.35">
      <c r="A221" s="38"/>
      <c r="B221" s="40"/>
      <c r="C221" s="50"/>
      <c r="D221" s="40"/>
      <c r="E221" s="39" t="s">
        <v>637</v>
      </c>
      <c r="F221" s="39" t="s">
        <v>1075</v>
      </c>
      <c r="G221" s="39" t="s">
        <v>427</v>
      </c>
      <c r="H221" s="39">
        <v>69</v>
      </c>
      <c r="I221" s="51"/>
    </row>
    <row r="222" spans="1:9" x14ac:dyDescent="0.3">
      <c r="A222" s="30" t="s">
        <v>641</v>
      </c>
      <c r="B222" s="31" t="s">
        <v>327</v>
      </c>
      <c r="C222" s="47" t="s">
        <v>621</v>
      </c>
      <c r="D222" s="31" t="s">
        <v>797</v>
      </c>
      <c r="E222" s="32" t="s">
        <v>620</v>
      </c>
      <c r="F222" s="32" t="s">
        <v>626</v>
      </c>
      <c r="G222" s="32" t="s">
        <v>1074</v>
      </c>
      <c r="H222" s="32"/>
      <c r="I222" s="48"/>
    </row>
    <row r="223" spans="1:9" x14ac:dyDescent="0.3">
      <c r="A223" s="34"/>
      <c r="B223" s="35"/>
      <c r="C223" s="28"/>
      <c r="D223" s="35"/>
      <c r="E223" s="25" t="s">
        <v>652</v>
      </c>
      <c r="F223" s="25" t="s">
        <v>1075</v>
      </c>
      <c r="G223" s="25" t="s">
        <v>324</v>
      </c>
      <c r="H223" s="25">
        <v>50</v>
      </c>
      <c r="I223" s="49"/>
    </row>
    <row r="224" spans="1:9" x14ac:dyDescent="0.3">
      <c r="A224" s="34"/>
      <c r="B224" s="35"/>
      <c r="C224" s="28"/>
      <c r="D224" s="35"/>
      <c r="E224" s="25" t="s">
        <v>630</v>
      </c>
      <c r="F224" s="25" t="s">
        <v>626</v>
      </c>
      <c r="G224" s="25" t="s">
        <v>1074</v>
      </c>
      <c r="H224" s="25"/>
      <c r="I224" s="49"/>
    </row>
    <row r="225" spans="1:9" x14ac:dyDescent="0.3">
      <c r="A225" s="34"/>
      <c r="B225" s="35"/>
      <c r="C225" s="28"/>
      <c r="D225" s="35"/>
      <c r="E225" s="25" t="s">
        <v>634</v>
      </c>
      <c r="F225" s="25" t="s">
        <v>626</v>
      </c>
      <c r="G225" s="25" t="s">
        <v>1074</v>
      </c>
      <c r="H225" s="25"/>
      <c r="I225" s="49"/>
    </row>
    <row r="226" spans="1:9" x14ac:dyDescent="0.3">
      <c r="A226" s="34"/>
      <c r="B226" s="35"/>
      <c r="C226" s="28"/>
      <c r="D226" s="35"/>
      <c r="E226" s="25" t="s">
        <v>637</v>
      </c>
      <c r="F226" s="25" t="s">
        <v>1075</v>
      </c>
      <c r="G226" s="25" t="s">
        <v>539</v>
      </c>
      <c r="H226" s="25">
        <v>90</v>
      </c>
      <c r="I226" s="49">
        <v>42</v>
      </c>
    </row>
    <row r="227" spans="1:9" x14ac:dyDescent="0.3">
      <c r="A227" s="34"/>
      <c r="B227" s="35"/>
      <c r="C227" s="28"/>
      <c r="D227" s="35"/>
      <c r="E227" s="25" t="s">
        <v>640</v>
      </c>
      <c r="F227" s="25" t="s">
        <v>626</v>
      </c>
      <c r="G227" s="25" t="s">
        <v>1074</v>
      </c>
      <c r="H227" s="25"/>
      <c r="I227" s="49"/>
    </row>
    <row r="228" spans="1:9" ht="15" thickBot="1" x14ac:dyDescent="0.35">
      <c r="A228" s="38"/>
      <c r="B228" s="40"/>
      <c r="C228" s="50"/>
      <c r="D228" s="40"/>
      <c r="E228" s="39" t="s">
        <v>642</v>
      </c>
      <c r="F228" s="39" t="s">
        <v>646</v>
      </c>
      <c r="G228" s="39" t="s">
        <v>1097</v>
      </c>
      <c r="H228" s="39"/>
      <c r="I228" s="51"/>
    </row>
    <row r="229" spans="1:9" x14ac:dyDescent="0.3">
      <c r="A229" s="30" t="s">
        <v>641</v>
      </c>
      <c r="B229" s="31" t="s">
        <v>319</v>
      </c>
      <c r="C229" s="47" t="s">
        <v>621</v>
      </c>
      <c r="D229" s="31" t="s">
        <v>805</v>
      </c>
      <c r="E229" s="32" t="s">
        <v>620</v>
      </c>
      <c r="F229" s="32" t="s">
        <v>626</v>
      </c>
      <c r="G229" s="32" t="s">
        <v>1074</v>
      </c>
      <c r="H229" s="32"/>
      <c r="I229" s="48"/>
    </row>
    <row r="230" spans="1:9" x14ac:dyDescent="0.3">
      <c r="A230" s="34"/>
      <c r="B230" s="35"/>
      <c r="C230" s="28"/>
      <c r="D230" s="35"/>
      <c r="E230" s="25" t="s">
        <v>652</v>
      </c>
      <c r="F230" s="25" t="s">
        <v>626</v>
      </c>
      <c r="G230" s="25" t="s">
        <v>1074</v>
      </c>
      <c r="H230" s="25"/>
      <c r="I230" s="49"/>
    </row>
    <row r="231" spans="1:9" x14ac:dyDescent="0.3">
      <c r="A231" s="34"/>
      <c r="B231" s="35"/>
      <c r="C231" s="28"/>
      <c r="D231" s="35"/>
      <c r="E231" s="25" t="s">
        <v>630</v>
      </c>
      <c r="F231" s="25" t="s">
        <v>626</v>
      </c>
      <c r="G231" s="25" t="s">
        <v>1074</v>
      </c>
      <c r="H231" s="25"/>
      <c r="I231" s="49"/>
    </row>
    <row r="232" spans="1:9" x14ac:dyDescent="0.3">
      <c r="A232" s="34"/>
      <c r="B232" s="35"/>
      <c r="C232" s="28"/>
      <c r="D232" s="35"/>
      <c r="E232" s="25" t="s">
        <v>634</v>
      </c>
      <c r="F232" s="25" t="s">
        <v>626</v>
      </c>
      <c r="G232" s="25" t="s">
        <v>1074</v>
      </c>
      <c r="H232" s="25"/>
      <c r="I232" s="49"/>
    </row>
    <row r="233" spans="1:9" x14ac:dyDescent="0.3">
      <c r="A233" s="34"/>
      <c r="B233" s="35"/>
      <c r="C233" s="28"/>
      <c r="D233" s="35"/>
      <c r="E233" s="25" t="s">
        <v>637</v>
      </c>
      <c r="F233" s="25" t="s">
        <v>1075</v>
      </c>
      <c r="G233" s="25" t="s">
        <v>534</v>
      </c>
      <c r="H233" s="25">
        <v>89</v>
      </c>
      <c r="I233" s="49">
        <v>41</v>
      </c>
    </row>
    <row r="234" spans="1:9" x14ac:dyDescent="0.3">
      <c r="A234" s="34"/>
      <c r="B234" s="35"/>
      <c r="C234" s="28"/>
      <c r="D234" s="35"/>
      <c r="E234" s="25" t="s">
        <v>640</v>
      </c>
      <c r="F234" s="25" t="s">
        <v>626</v>
      </c>
      <c r="G234" s="25" t="s">
        <v>1074</v>
      </c>
      <c r="H234" s="25"/>
      <c r="I234" s="49"/>
    </row>
    <row r="235" spans="1:9" x14ac:dyDescent="0.3">
      <c r="A235" s="34"/>
      <c r="B235" s="35"/>
      <c r="C235" s="28"/>
      <c r="D235" s="35"/>
      <c r="E235" s="25" t="s">
        <v>642</v>
      </c>
      <c r="F235" s="25" t="s">
        <v>646</v>
      </c>
      <c r="G235" s="25" t="s">
        <v>1098</v>
      </c>
      <c r="H235" s="25"/>
      <c r="I235" s="49"/>
    </row>
    <row r="236" spans="1:9" ht="15" thickBot="1" x14ac:dyDescent="0.35">
      <c r="A236" s="38"/>
      <c r="B236" s="40"/>
      <c r="C236" s="50"/>
      <c r="D236" s="40"/>
      <c r="E236" s="39" t="s">
        <v>645</v>
      </c>
      <c r="F236" s="39" t="s">
        <v>1075</v>
      </c>
      <c r="G236" s="39" t="s">
        <v>317</v>
      </c>
      <c r="H236" s="39">
        <v>49</v>
      </c>
      <c r="I236" s="51"/>
    </row>
    <row r="237" spans="1:9" x14ac:dyDescent="0.3">
      <c r="A237" s="30" t="s">
        <v>641</v>
      </c>
      <c r="B237" s="31" t="s">
        <v>294</v>
      </c>
      <c r="C237" s="47" t="s">
        <v>621</v>
      </c>
      <c r="D237" s="31" t="s">
        <v>811</v>
      </c>
      <c r="E237" s="32" t="s">
        <v>620</v>
      </c>
      <c r="F237" s="32" t="s">
        <v>626</v>
      </c>
      <c r="G237" s="32" t="s">
        <v>1074</v>
      </c>
      <c r="H237" s="32"/>
      <c r="I237" s="48"/>
    </row>
    <row r="238" spans="1:9" x14ac:dyDescent="0.3">
      <c r="A238" s="34"/>
      <c r="B238" s="35"/>
      <c r="C238" s="28"/>
      <c r="D238" s="35"/>
      <c r="E238" s="25" t="s">
        <v>652</v>
      </c>
      <c r="F238" s="25" t="s">
        <v>626</v>
      </c>
      <c r="G238" s="25" t="s">
        <v>1074</v>
      </c>
      <c r="H238" s="25"/>
      <c r="I238" s="49"/>
    </row>
    <row r="239" spans="1:9" x14ac:dyDescent="0.3">
      <c r="A239" s="34"/>
      <c r="B239" s="35"/>
      <c r="C239" s="28"/>
      <c r="D239" s="35"/>
      <c r="E239" s="25" t="s">
        <v>630</v>
      </c>
      <c r="F239" s="25" t="s">
        <v>626</v>
      </c>
      <c r="G239" s="25" t="s">
        <v>1074</v>
      </c>
      <c r="H239" s="25"/>
      <c r="I239" s="49"/>
    </row>
    <row r="240" spans="1:9" x14ac:dyDescent="0.3">
      <c r="A240" s="34"/>
      <c r="B240" s="35"/>
      <c r="C240" s="28"/>
      <c r="D240" s="35"/>
      <c r="E240" s="25" t="s">
        <v>634</v>
      </c>
      <c r="F240" s="25" t="s">
        <v>626</v>
      </c>
      <c r="G240" s="25" t="s">
        <v>1074</v>
      </c>
      <c r="H240" s="25"/>
      <c r="I240" s="49"/>
    </row>
    <row r="241" spans="1:9" x14ac:dyDescent="0.3">
      <c r="A241" s="34"/>
      <c r="B241" s="35"/>
      <c r="C241" s="28"/>
      <c r="D241" s="35"/>
      <c r="E241" s="25" t="s">
        <v>637</v>
      </c>
      <c r="F241" s="25" t="s">
        <v>626</v>
      </c>
      <c r="G241" s="25" t="s">
        <v>1074</v>
      </c>
      <c r="H241" s="25"/>
      <c r="I241" s="49"/>
    </row>
    <row r="242" spans="1:9" x14ac:dyDescent="0.3">
      <c r="A242" s="34"/>
      <c r="B242" s="35"/>
      <c r="C242" s="28"/>
      <c r="D242" s="35"/>
      <c r="E242" s="25" t="s">
        <v>640</v>
      </c>
      <c r="F242" s="25" t="s">
        <v>626</v>
      </c>
      <c r="G242" s="25" t="s">
        <v>1074</v>
      </c>
      <c r="H242" s="25"/>
      <c r="I242" s="49"/>
    </row>
    <row r="243" spans="1:9" x14ac:dyDescent="0.3">
      <c r="A243" s="34"/>
      <c r="B243" s="35"/>
      <c r="C243" s="28"/>
      <c r="D243" s="35"/>
      <c r="E243" s="25" t="s">
        <v>642</v>
      </c>
      <c r="F243" s="25" t="s">
        <v>646</v>
      </c>
      <c r="G243" s="25" t="s">
        <v>1099</v>
      </c>
      <c r="H243" s="25"/>
      <c r="I243" s="49"/>
    </row>
    <row r="244" spans="1:9" x14ac:dyDescent="0.3">
      <c r="A244" s="34"/>
      <c r="B244" s="35"/>
      <c r="C244" s="28"/>
      <c r="D244" s="35"/>
      <c r="E244" s="25" t="s">
        <v>645</v>
      </c>
      <c r="F244" s="25" t="s">
        <v>1075</v>
      </c>
      <c r="G244" s="25" t="s">
        <v>530</v>
      </c>
      <c r="H244" s="25">
        <v>88</v>
      </c>
      <c r="I244" s="49"/>
    </row>
    <row r="245" spans="1:9" ht="15" thickBot="1" x14ac:dyDescent="0.35">
      <c r="A245" s="38"/>
      <c r="B245" s="40"/>
      <c r="C245" s="50"/>
      <c r="D245" s="40"/>
      <c r="E245" s="39" t="s">
        <v>711</v>
      </c>
      <c r="F245" s="39" t="s">
        <v>1075</v>
      </c>
      <c r="G245" s="39" t="s">
        <v>290</v>
      </c>
      <c r="H245" s="39">
        <v>46</v>
      </c>
      <c r="I245" s="51">
        <v>22</v>
      </c>
    </row>
    <row r="246" spans="1:9" x14ac:dyDescent="0.3">
      <c r="A246" s="30" t="s">
        <v>641</v>
      </c>
      <c r="B246" s="31" t="s">
        <v>97</v>
      </c>
      <c r="C246" s="47" t="s">
        <v>621</v>
      </c>
      <c r="D246" s="31" t="s">
        <v>853</v>
      </c>
      <c r="E246" s="32" t="s">
        <v>620</v>
      </c>
      <c r="F246" s="32" t="s">
        <v>626</v>
      </c>
      <c r="G246" s="32" t="s">
        <v>1074</v>
      </c>
      <c r="H246" s="32"/>
      <c r="I246" s="48"/>
    </row>
    <row r="247" spans="1:9" x14ac:dyDescent="0.3">
      <c r="A247" s="34"/>
      <c r="B247" s="35"/>
      <c r="C247" s="28"/>
      <c r="D247" s="35"/>
      <c r="E247" s="25" t="s">
        <v>652</v>
      </c>
      <c r="F247" s="25" t="s">
        <v>1075</v>
      </c>
      <c r="G247" s="25" t="s">
        <v>351</v>
      </c>
      <c r="H247" s="25">
        <v>53</v>
      </c>
      <c r="I247" s="49">
        <v>25</v>
      </c>
    </row>
    <row r="248" spans="1:9" x14ac:dyDescent="0.3">
      <c r="A248" s="34"/>
      <c r="B248" s="35"/>
      <c r="C248" s="28"/>
      <c r="D248" s="35"/>
      <c r="E248" s="25" t="s">
        <v>630</v>
      </c>
      <c r="F248" s="25" t="s">
        <v>626</v>
      </c>
      <c r="G248" s="25" t="s">
        <v>1074</v>
      </c>
      <c r="H248" s="25"/>
      <c r="I248" s="49"/>
    </row>
    <row r="249" spans="1:9" x14ac:dyDescent="0.3">
      <c r="A249" s="34"/>
      <c r="B249" s="35"/>
      <c r="C249" s="28"/>
      <c r="D249" s="35"/>
      <c r="E249" s="25" t="s">
        <v>634</v>
      </c>
      <c r="F249" s="25" t="s">
        <v>1075</v>
      </c>
      <c r="G249" s="25" t="s">
        <v>95</v>
      </c>
      <c r="H249" s="25">
        <v>7</v>
      </c>
      <c r="I249" s="49"/>
    </row>
    <row r="250" spans="1:9" x14ac:dyDescent="0.3">
      <c r="A250" s="34"/>
      <c r="B250" s="35"/>
      <c r="C250" s="28"/>
      <c r="D250" s="35"/>
      <c r="E250" s="25" t="s">
        <v>637</v>
      </c>
      <c r="F250" s="25" t="s">
        <v>626</v>
      </c>
      <c r="G250" s="25" t="s">
        <v>1074</v>
      </c>
      <c r="H250" s="25"/>
      <c r="I250" s="49"/>
    </row>
    <row r="251" spans="1:9" x14ac:dyDescent="0.3">
      <c r="A251" s="34"/>
      <c r="B251" s="35"/>
      <c r="C251" s="28"/>
      <c r="D251" s="35"/>
      <c r="E251" s="25" t="s">
        <v>640</v>
      </c>
      <c r="F251" s="25" t="s">
        <v>1075</v>
      </c>
      <c r="G251" s="25" t="s">
        <v>123</v>
      </c>
      <c r="H251" s="25">
        <v>19</v>
      </c>
      <c r="I251" s="49"/>
    </row>
    <row r="252" spans="1:9" x14ac:dyDescent="0.3">
      <c r="A252" s="34"/>
      <c r="B252" s="35"/>
      <c r="C252" s="28"/>
      <c r="D252" s="35"/>
      <c r="E252" s="25" t="s">
        <v>642</v>
      </c>
      <c r="F252" s="25" t="s">
        <v>626</v>
      </c>
      <c r="G252" s="25" t="s">
        <v>1074</v>
      </c>
      <c r="H252" s="25"/>
      <c r="I252" s="49"/>
    </row>
    <row r="253" spans="1:9" ht="15" thickBot="1" x14ac:dyDescent="0.35">
      <c r="A253" s="38"/>
      <c r="B253" s="40"/>
      <c r="C253" s="50"/>
      <c r="D253" s="40"/>
      <c r="E253" s="39" t="s">
        <v>645</v>
      </c>
      <c r="F253" s="39" t="s">
        <v>646</v>
      </c>
      <c r="G253" s="39" t="s">
        <v>1100</v>
      </c>
      <c r="H253" s="39"/>
      <c r="I253" s="51"/>
    </row>
    <row r="254" spans="1:9" x14ac:dyDescent="0.3">
      <c r="A254" s="30" t="s">
        <v>641</v>
      </c>
      <c r="B254" s="31" t="s">
        <v>362</v>
      </c>
      <c r="C254" s="47" t="s">
        <v>621</v>
      </c>
      <c r="D254" s="31" t="s">
        <v>845</v>
      </c>
      <c r="E254" s="32" t="s">
        <v>620</v>
      </c>
      <c r="F254" s="32" t="s">
        <v>626</v>
      </c>
      <c r="G254" s="32" t="s">
        <v>1074</v>
      </c>
      <c r="H254" s="32"/>
      <c r="I254" s="48"/>
    </row>
    <row r="255" spans="1:9" x14ac:dyDescent="0.3">
      <c r="A255" s="34"/>
      <c r="B255" s="35"/>
      <c r="C255" s="28"/>
      <c r="D255" s="35"/>
      <c r="E255" s="25" t="s">
        <v>652</v>
      </c>
      <c r="F255" s="25" t="s">
        <v>1075</v>
      </c>
      <c r="G255" s="25" t="s">
        <v>358</v>
      </c>
      <c r="H255" s="25">
        <v>54</v>
      </c>
      <c r="I255" s="49">
        <v>26</v>
      </c>
    </row>
    <row r="256" spans="1:9" x14ac:dyDescent="0.3">
      <c r="A256" s="34"/>
      <c r="B256" s="35"/>
      <c r="C256" s="28"/>
      <c r="D256" s="35"/>
      <c r="E256" s="25" t="s">
        <v>630</v>
      </c>
      <c r="F256" s="25" t="s">
        <v>626</v>
      </c>
      <c r="G256" s="25" t="s">
        <v>1074</v>
      </c>
      <c r="H256" s="25"/>
      <c r="I256" s="49"/>
    </row>
    <row r="257" spans="1:9" x14ac:dyDescent="0.3">
      <c r="A257" s="34"/>
      <c r="B257" s="35"/>
      <c r="C257" s="28"/>
      <c r="D257" s="35"/>
      <c r="E257" s="25" t="s">
        <v>634</v>
      </c>
      <c r="F257" s="25" t="s">
        <v>626</v>
      </c>
      <c r="G257" s="25" t="s">
        <v>1074</v>
      </c>
      <c r="H257" s="25"/>
      <c r="I257" s="49"/>
    </row>
    <row r="258" spans="1:9" x14ac:dyDescent="0.3">
      <c r="A258" s="34"/>
      <c r="B258" s="35"/>
      <c r="C258" s="28"/>
      <c r="D258" s="35"/>
      <c r="E258" s="25" t="s">
        <v>637</v>
      </c>
      <c r="F258" s="25" t="s">
        <v>1075</v>
      </c>
      <c r="G258" s="25" t="s">
        <v>504</v>
      </c>
      <c r="H258" s="25">
        <v>81</v>
      </c>
      <c r="I258" s="49">
        <v>40</v>
      </c>
    </row>
    <row r="259" spans="1:9" x14ac:dyDescent="0.3">
      <c r="A259" s="34"/>
      <c r="B259" s="35"/>
      <c r="C259" s="28"/>
      <c r="D259" s="35"/>
      <c r="E259" s="25" t="s">
        <v>640</v>
      </c>
      <c r="F259" s="25" t="s">
        <v>626</v>
      </c>
      <c r="G259" s="25" t="s">
        <v>1074</v>
      </c>
      <c r="H259" s="25"/>
      <c r="I259" s="49"/>
    </row>
    <row r="260" spans="1:9" ht="15" thickBot="1" x14ac:dyDescent="0.35">
      <c r="A260" s="38"/>
      <c r="B260" s="40"/>
      <c r="C260" s="50"/>
      <c r="D260" s="40"/>
      <c r="E260" s="39" t="s">
        <v>642</v>
      </c>
      <c r="F260" s="39" t="s">
        <v>646</v>
      </c>
      <c r="G260" s="39" t="s">
        <v>1101</v>
      </c>
      <c r="H260" s="39"/>
      <c r="I260" s="51"/>
    </row>
    <row r="261" spans="1:9" x14ac:dyDescent="0.3">
      <c r="A261" s="30" t="s">
        <v>641</v>
      </c>
      <c r="B261" s="31" t="s">
        <v>398</v>
      </c>
      <c r="C261" s="47" t="s">
        <v>621</v>
      </c>
      <c r="D261" s="31" t="s">
        <v>932</v>
      </c>
      <c r="E261" s="32" t="s">
        <v>620</v>
      </c>
      <c r="F261" s="32" t="s">
        <v>626</v>
      </c>
      <c r="G261" s="32" t="s">
        <v>1074</v>
      </c>
      <c r="H261" s="32"/>
      <c r="I261" s="48"/>
    </row>
    <row r="262" spans="1:9" x14ac:dyDescent="0.3">
      <c r="A262" s="34"/>
      <c r="B262" s="35"/>
      <c r="C262" s="28"/>
      <c r="D262" s="35"/>
      <c r="E262" s="25" t="s">
        <v>652</v>
      </c>
      <c r="F262" s="25" t="s">
        <v>626</v>
      </c>
      <c r="G262" s="25" t="s">
        <v>1074</v>
      </c>
      <c r="H262" s="25"/>
      <c r="I262" s="49"/>
    </row>
    <row r="263" spans="1:9" x14ac:dyDescent="0.3">
      <c r="A263" s="34"/>
      <c r="B263" s="35"/>
      <c r="C263" s="28"/>
      <c r="D263" s="35"/>
      <c r="E263" s="25" t="s">
        <v>630</v>
      </c>
      <c r="F263" s="25" t="s">
        <v>626</v>
      </c>
      <c r="G263" s="25" t="s">
        <v>1074</v>
      </c>
      <c r="H263" s="25"/>
      <c r="I263" s="49"/>
    </row>
    <row r="264" spans="1:9" x14ac:dyDescent="0.3">
      <c r="A264" s="34"/>
      <c r="B264" s="35"/>
      <c r="C264" s="28"/>
      <c r="D264" s="35"/>
      <c r="E264" s="25" t="s">
        <v>634</v>
      </c>
      <c r="F264" s="25" t="s">
        <v>626</v>
      </c>
      <c r="G264" s="25" t="s">
        <v>1074</v>
      </c>
      <c r="H264" s="25"/>
      <c r="I264" s="49"/>
    </row>
    <row r="265" spans="1:9" x14ac:dyDescent="0.3">
      <c r="A265" s="34"/>
      <c r="B265" s="35"/>
      <c r="C265" s="28"/>
      <c r="D265" s="35"/>
      <c r="E265" s="25" t="s">
        <v>637</v>
      </c>
      <c r="F265" s="25" t="s">
        <v>1075</v>
      </c>
      <c r="G265" s="25" t="s">
        <v>499</v>
      </c>
      <c r="H265" s="25">
        <v>80</v>
      </c>
      <c r="I265" s="49">
        <v>39</v>
      </c>
    </row>
    <row r="266" spans="1:9" x14ac:dyDescent="0.3">
      <c r="A266" s="34"/>
      <c r="B266" s="35"/>
      <c r="C266" s="28"/>
      <c r="D266" s="35"/>
      <c r="E266" s="25" t="s">
        <v>640</v>
      </c>
      <c r="F266" s="25" t="s">
        <v>626</v>
      </c>
      <c r="G266" s="25" t="s">
        <v>1074</v>
      </c>
      <c r="H266" s="25"/>
      <c r="I266" s="49"/>
    </row>
    <row r="267" spans="1:9" x14ac:dyDescent="0.3">
      <c r="A267" s="34"/>
      <c r="B267" s="35"/>
      <c r="C267" s="28"/>
      <c r="D267" s="35"/>
      <c r="E267" s="25" t="s">
        <v>642</v>
      </c>
      <c r="F267" s="25" t="s">
        <v>646</v>
      </c>
      <c r="G267" s="25" t="s">
        <v>1102</v>
      </c>
      <c r="H267" s="25"/>
      <c r="I267" s="49"/>
    </row>
    <row r="268" spans="1:9" ht="15" thickBot="1" x14ac:dyDescent="0.35">
      <c r="A268" s="38"/>
      <c r="B268" s="40"/>
      <c r="C268" s="50"/>
      <c r="D268" s="40"/>
      <c r="E268" s="39" t="s">
        <v>645</v>
      </c>
      <c r="F268" s="39" t="s">
        <v>1075</v>
      </c>
      <c r="G268" s="39" t="s">
        <v>395</v>
      </c>
      <c r="H268" s="39">
        <v>63</v>
      </c>
      <c r="I268" s="51"/>
    </row>
    <row r="269" spans="1:9" x14ac:dyDescent="0.3">
      <c r="A269" s="30" t="s">
        <v>641</v>
      </c>
      <c r="B269" s="31" t="s">
        <v>369</v>
      </c>
      <c r="C269" s="47" t="s">
        <v>621</v>
      </c>
      <c r="D269" s="31" t="s">
        <v>971</v>
      </c>
      <c r="E269" s="32" t="s">
        <v>620</v>
      </c>
      <c r="F269" s="32" t="s">
        <v>626</v>
      </c>
      <c r="G269" s="32" t="s">
        <v>1074</v>
      </c>
      <c r="H269" s="32"/>
      <c r="I269" s="48"/>
    </row>
    <row r="270" spans="1:9" x14ac:dyDescent="0.3">
      <c r="A270" s="34"/>
      <c r="B270" s="35"/>
      <c r="C270" s="28"/>
      <c r="D270" s="35"/>
      <c r="E270" s="25" t="s">
        <v>652</v>
      </c>
      <c r="F270" s="25" t="s">
        <v>1075</v>
      </c>
      <c r="G270" s="25" t="s">
        <v>366</v>
      </c>
      <c r="H270" s="25">
        <v>55</v>
      </c>
      <c r="I270" s="49">
        <v>27</v>
      </c>
    </row>
    <row r="271" spans="1:9" x14ac:dyDescent="0.3">
      <c r="A271" s="34"/>
      <c r="B271" s="35"/>
      <c r="C271" s="28"/>
      <c r="D271" s="35"/>
      <c r="E271" s="25" t="s">
        <v>630</v>
      </c>
      <c r="F271" s="25" t="s">
        <v>626</v>
      </c>
      <c r="G271" s="25" t="s">
        <v>1074</v>
      </c>
      <c r="H271" s="25"/>
      <c r="I271" s="49"/>
    </row>
    <row r="272" spans="1:9" x14ac:dyDescent="0.3">
      <c r="A272" s="34"/>
      <c r="B272" s="35"/>
      <c r="C272" s="28"/>
      <c r="D272" s="35"/>
      <c r="E272" s="25" t="s">
        <v>634</v>
      </c>
      <c r="F272" s="25" t="s">
        <v>626</v>
      </c>
      <c r="G272" s="25" t="s">
        <v>1074</v>
      </c>
      <c r="H272" s="25"/>
      <c r="I272" s="49"/>
    </row>
    <row r="273" spans="1:9" ht="15" thickBot="1" x14ac:dyDescent="0.35">
      <c r="A273" s="38"/>
      <c r="B273" s="40"/>
      <c r="C273" s="50"/>
      <c r="D273" s="40"/>
      <c r="E273" s="39" t="s">
        <v>637</v>
      </c>
      <c r="F273" s="39" t="s">
        <v>1075</v>
      </c>
      <c r="G273" s="39" t="s">
        <v>526</v>
      </c>
      <c r="H273" s="39">
        <v>85</v>
      </c>
      <c r="I273" s="51"/>
    </row>
    <row r="274" spans="1:9" x14ac:dyDescent="0.3">
      <c r="A274" s="30" t="s">
        <v>641</v>
      </c>
      <c r="B274" s="31" t="s">
        <v>277</v>
      </c>
      <c r="C274" s="47" t="s">
        <v>621</v>
      </c>
      <c r="D274" s="31" t="s">
        <v>965</v>
      </c>
      <c r="E274" s="32" t="s">
        <v>620</v>
      </c>
      <c r="F274" s="32" t="s">
        <v>626</v>
      </c>
      <c r="G274" s="32" t="s">
        <v>1074</v>
      </c>
      <c r="H274" s="32"/>
      <c r="I274" s="48"/>
    </row>
    <row r="275" spans="1:9" x14ac:dyDescent="0.3">
      <c r="A275" s="34"/>
      <c r="B275" s="35"/>
      <c r="C275" s="28"/>
      <c r="D275" s="35"/>
      <c r="E275" s="25" t="s">
        <v>652</v>
      </c>
      <c r="F275" s="25" t="s">
        <v>1075</v>
      </c>
      <c r="G275" s="25" t="s">
        <v>374</v>
      </c>
      <c r="H275" s="25">
        <v>56</v>
      </c>
      <c r="I275" s="49">
        <v>28</v>
      </c>
    </row>
    <row r="276" spans="1:9" x14ac:dyDescent="0.3">
      <c r="A276" s="34"/>
      <c r="B276" s="35"/>
      <c r="C276" s="28"/>
      <c r="D276" s="35"/>
      <c r="E276" s="25" t="s">
        <v>630</v>
      </c>
      <c r="F276" s="25" t="s">
        <v>626</v>
      </c>
      <c r="G276" s="25" t="s">
        <v>1074</v>
      </c>
      <c r="H276" s="25"/>
      <c r="I276" s="49"/>
    </row>
    <row r="277" spans="1:9" x14ac:dyDescent="0.3">
      <c r="A277" s="34"/>
      <c r="B277" s="35"/>
      <c r="C277" s="28"/>
      <c r="D277" s="35"/>
      <c r="E277" s="25" t="s">
        <v>634</v>
      </c>
      <c r="F277" s="25" t="s">
        <v>626</v>
      </c>
      <c r="G277" s="25" t="s">
        <v>1074</v>
      </c>
      <c r="H277" s="25"/>
      <c r="I277" s="49"/>
    </row>
    <row r="278" spans="1:9" x14ac:dyDescent="0.3">
      <c r="A278" s="34"/>
      <c r="B278" s="35"/>
      <c r="C278" s="28"/>
      <c r="D278" s="35"/>
      <c r="E278" s="25" t="s">
        <v>637</v>
      </c>
      <c r="F278" s="25" t="s">
        <v>646</v>
      </c>
      <c r="G278" s="25" t="s">
        <v>1103</v>
      </c>
      <c r="H278" s="25"/>
      <c r="I278" s="49"/>
    </row>
    <row r="279" spans="1:9" ht="15" thickBot="1" x14ac:dyDescent="0.35">
      <c r="A279" s="38"/>
      <c r="B279" s="40"/>
      <c r="C279" s="50"/>
      <c r="D279" s="40"/>
      <c r="E279" s="39" t="s">
        <v>640</v>
      </c>
      <c r="F279" s="39" t="s">
        <v>1075</v>
      </c>
      <c r="G279" s="39" t="s">
        <v>275</v>
      </c>
      <c r="H279" s="39">
        <v>44</v>
      </c>
      <c r="I279" s="51">
        <v>20</v>
      </c>
    </row>
    <row r="280" spans="1:9" x14ac:dyDescent="0.3">
      <c r="A280" s="30" t="s">
        <v>674</v>
      </c>
      <c r="B280" s="31" t="s">
        <v>47</v>
      </c>
      <c r="C280" s="47" t="s">
        <v>621</v>
      </c>
      <c r="D280" s="31" t="s">
        <v>682</v>
      </c>
      <c r="E280" s="32" t="s">
        <v>620</v>
      </c>
      <c r="F280" s="32" t="s">
        <v>626</v>
      </c>
      <c r="G280" s="32" t="s">
        <v>1074</v>
      </c>
      <c r="H280" s="32"/>
      <c r="I280" s="48"/>
    </row>
    <row r="281" spans="1:9" x14ac:dyDescent="0.3">
      <c r="A281" s="34"/>
      <c r="B281" s="35"/>
      <c r="C281" s="28"/>
      <c r="D281" s="35"/>
      <c r="E281" s="25" t="s">
        <v>652</v>
      </c>
      <c r="F281" s="25" t="s">
        <v>1075</v>
      </c>
      <c r="G281" s="25" t="s">
        <v>452</v>
      </c>
      <c r="H281" s="25">
        <v>73</v>
      </c>
      <c r="I281" s="49">
        <v>36</v>
      </c>
    </row>
    <row r="282" spans="1:9" x14ac:dyDescent="0.3">
      <c r="A282" s="34"/>
      <c r="B282" s="35"/>
      <c r="C282" s="28"/>
      <c r="D282" s="35"/>
      <c r="E282" s="25" t="s">
        <v>630</v>
      </c>
      <c r="F282" s="25" t="s">
        <v>1075</v>
      </c>
      <c r="G282" s="25" t="s">
        <v>38</v>
      </c>
      <c r="H282" s="25">
        <v>2</v>
      </c>
      <c r="I282" s="49"/>
    </row>
    <row r="283" spans="1:9" ht="15" thickBot="1" x14ac:dyDescent="0.35">
      <c r="A283" s="38"/>
      <c r="B283" s="40"/>
      <c r="C283" s="50"/>
      <c r="D283" s="40"/>
      <c r="E283" s="39" t="s">
        <v>634</v>
      </c>
      <c r="F283" s="25" t="s">
        <v>626</v>
      </c>
      <c r="G283" s="25" t="s">
        <v>1074</v>
      </c>
      <c r="H283" s="39"/>
      <c r="I283" s="51"/>
    </row>
    <row r="284" spans="1:9" x14ac:dyDescent="0.3">
      <c r="A284" s="30" t="s">
        <v>674</v>
      </c>
      <c r="B284" s="31" t="s">
        <v>34</v>
      </c>
      <c r="C284" s="47" t="s">
        <v>621</v>
      </c>
      <c r="D284" s="31" t="s">
        <v>696</v>
      </c>
      <c r="E284" s="32" t="s">
        <v>620</v>
      </c>
      <c r="F284" s="32" t="s">
        <v>626</v>
      </c>
      <c r="G284" s="32" t="s">
        <v>1074</v>
      </c>
      <c r="H284" s="32"/>
      <c r="I284" s="48"/>
    </row>
    <row r="285" spans="1:9" x14ac:dyDescent="0.3">
      <c r="A285" s="34"/>
      <c r="B285" s="35"/>
      <c r="C285" s="28"/>
      <c r="D285" s="35"/>
      <c r="E285" s="25" t="s">
        <v>652</v>
      </c>
      <c r="F285" s="25" t="s">
        <v>1075</v>
      </c>
      <c r="G285" s="25" t="s">
        <v>446</v>
      </c>
      <c r="H285" s="25">
        <v>72</v>
      </c>
      <c r="I285" s="49">
        <v>35</v>
      </c>
    </row>
    <row r="286" spans="1:9" x14ac:dyDescent="0.3">
      <c r="A286" s="34"/>
      <c r="B286" s="35"/>
      <c r="C286" s="28"/>
      <c r="D286" s="35"/>
      <c r="E286" s="25" t="s">
        <v>630</v>
      </c>
      <c r="F286" s="25" t="s">
        <v>1075</v>
      </c>
      <c r="G286" s="25" t="s">
        <v>23</v>
      </c>
      <c r="H286" s="25">
        <v>1</v>
      </c>
      <c r="I286" s="49"/>
    </row>
    <row r="287" spans="1:9" ht="15" thickBot="1" x14ac:dyDescent="0.35">
      <c r="A287" s="38"/>
      <c r="B287" s="40"/>
      <c r="C287" s="50"/>
      <c r="D287" s="40"/>
      <c r="E287" s="39" t="s">
        <v>634</v>
      </c>
      <c r="F287" s="25" t="s">
        <v>626</v>
      </c>
      <c r="G287" s="25" t="s">
        <v>1074</v>
      </c>
      <c r="H287" s="39"/>
      <c r="I287" s="51"/>
    </row>
    <row r="288" spans="1:9" x14ac:dyDescent="0.3">
      <c r="A288" s="30" t="s">
        <v>638</v>
      </c>
      <c r="B288" s="31" t="s">
        <v>67</v>
      </c>
      <c r="C288" s="47" t="s">
        <v>621</v>
      </c>
      <c r="D288" s="31" t="s">
        <v>781</v>
      </c>
      <c r="E288" s="32" t="s">
        <v>620</v>
      </c>
      <c r="F288" s="32" t="s">
        <v>626</v>
      </c>
      <c r="G288" s="32" t="s">
        <v>1074</v>
      </c>
      <c r="H288" s="32"/>
      <c r="I288" s="48"/>
    </row>
    <row r="289" spans="1:9" x14ac:dyDescent="0.3">
      <c r="A289" s="34"/>
      <c r="B289" s="35"/>
      <c r="C289" s="28"/>
      <c r="D289" s="35"/>
      <c r="E289" s="25" t="s">
        <v>652</v>
      </c>
      <c r="F289" s="25" t="s">
        <v>1075</v>
      </c>
      <c r="G289" s="25" t="s">
        <v>62</v>
      </c>
      <c r="H289" s="25">
        <v>4</v>
      </c>
      <c r="I289" s="49">
        <v>2</v>
      </c>
    </row>
    <row r="290" spans="1:9" x14ac:dyDescent="0.3">
      <c r="A290" s="34"/>
      <c r="B290" s="35"/>
      <c r="C290" s="28"/>
      <c r="D290" s="35"/>
      <c r="E290" s="25" t="s">
        <v>630</v>
      </c>
      <c r="F290" s="25" t="s">
        <v>1075</v>
      </c>
      <c r="G290" s="25" t="s">
        <v>548</v>
      </c>
      <c r="H290" s="25">
        <v>92</v>
      </c>
      <c r="I290" s="49">
        <v>44</v>
      </c>
    </row>
    <row r="291" spans="1:9" x14ac:dyDescent="0.3">
      <c r="A291" s="34"/>
      <c r="B291" s="35"/>
      <c r="C291" s="28"/>
      <c r="D291" s="35"/>
      <c r="E291" s="25" t="s">
        <v>634</v>
      </c>
      <c r="F291" s="25" t="s">
        <v>626</v>
      </c>
      <c r="G291" s="25" t="s">
        <v>1074</v>
      </c>
      <c r="H291" s="25"/>
      <c r="I291" s="49"/>
    </row>
    <row r="292" spans="1:9" x14ac:dyDescent="0.3">
      <c r="A292" s="34"/>
      <c r="B292" s="35"/>
      <c r="C292" s="28"/>
      <c r="D292" s="35"/>
      <c r="E292" s="25" t="s">
        <v>637</v>
      </c>
      <c r="F292" s="25" t="s">
        <v>626</v>
      </c>
      <c r="G292" s="25" t="s">
        <v>1074</v>
      </c>
      <c r="H292" s="25"/>
      <c r="I292" s="49"/>
    </row>
    <row r="293" spans="1:9" x14ac:dyDescent="0.3">
      <c r="A293" s="34"/>
      <c r="B293" s="35"/>
      <c r="C293" s="28"/>
      <c r="D293" s="35"/>
      <c r="E293" s="25" t="s">
        <v>640</v>
      </c>
      <c r="F293" s="25" t="s">
        <v>1075</v>
      </c>
      <c r="G293" s="25" t="s">
        <v>258</v>
      </c>
      <c r="H293" s="25">
        <v>41</v>
      </c>
      <c r="I293" s="49"/>
    </row>
    <row r="294" spans="1:9" x14ac:dyDescent="0.3">
      <c r="A294" s="34"/>
      <c r="B294" s="35"/>
      <c r="C294" s="28"/>
      <c r="D294" s="35"/>
      <c r="E294" s="25" t="s">
        <v>642</v>
      </c>
      <c r="F294" s="25" t="s">
        <v>626</v>
      </c>
      <c r="G294" s="25" t="s">
        <v>1074</v>
      </c>
      <c r="H294" s="25"/>
      <c r="I294" s="49"/>
    </row>
    <row r="295" spans="1:9" ht="15" thickBot="1" x14ac:dyDescent="0.35">
      <c r="A295" s="38"/>
      <c r="B295" s="40"/>
      <c r="C295" s="50"/>
      <c r="D295" s="40"/>
      <c r="E295" s="39" t="s">
        <v>645</v>
      </c>
      <c r="F295" s="25" t="s">
        <v>626</v>
      </c>
      <c r="G295" s="25" t="s">
        <v>1074</v>
      </c>
      <c r="H295" s="39"/>
      <c r="I295" s="51"/>
    </row>
    <row r="296" spans="1:9" x14ac:dyDescent="0.3">
      <c r="A296" s="30" t="s">
        <v>638</v>
      </c>
      <c r="B296" s="31" t="s">
        <v>56</v>
      </c>
      <c r="C296" s="47" t="s">
        <v>621</v>
      </c>
      <c r="D296" s="31" t="s">
        <v>788</v>
      </c>
      <c r="E296" s="32" t="s">
        <v>620</v>
      </c>
      <c r="F296" s="32" t="s">
        <v>626</v>
      </c>
      <c r="G296" s="32" t="s">
        <v>1074</v>
      </c>
      <c r="H296" s="32"/>
      <c r="I296" s="48"/>
    </row>
    <row r="297" spans="1:9" x14ac:dyDescent="0.3">
      <c r="A297" s="34"/>
      <c r="B297" s="35"/>
      <c r="C297" s="28"/>
      <c r="D297" s="35"/>
      <c r="E297" s="25" t="s">
        <v>652</v>
      </c>
      <c r="F297" s="25" t="s">
        <v>1075</v>
      </c>
      <c r="G297" s="25" t="s">
        <v>51</v>
      </c>
      <c r="H297" s="25">
        <v>3</v>
      </c>
      <c r="I297" s="49">
        <v>1</v>
      </c>
    </row>
    <row r="298" spans="1:9" x14ac:dyDescent="0.3">
      <c r="A298" s="34"/>
      <c r="B298" s="35"/>
      <c r="C298" s="28"/>
      <c r="D298" s="35"/>
      <c r="E298" s="25" t="s">
        <v>630</v>
      </c>
      <c r="F298" s="25" t="s">
        <v>1075</v>
      </c>
      <c r="G298" s="25" t="s">
        <v>544</v>
      </c>
      <c r="H298" s="25">
        <v>91</v>
      </c>
      <c r="I298" s="49">
        <v>43</v>
      </c>
    </row>
    <row r="299" spans="1:9" x14ac:dyDescent="0.3">
      <c r="A299" s="34"/>
      <c r="B299" s="35"/>
      <c r="C299" s="28"/>
      <c r="D299" s="35"/>
      <c r="E299" s="25" t="s">
        <v>634</v>
      </c>
      <c r="F299" s="25" t="s">
        <v>626</v>
      </c>
      <c r="G299" s="25" t="s">
        <v>1074</v>
      </c>
      <c r="H299" s="25"/>
      <c r="I299" s="49"/>
    </row>
    <row r="300" spans="1:9" x14ac:dyDescent="0.3">
      <c r="A300" s="34"/>
      <c r="B300" s="35"/>
      <c r="C300" s="28"/>
      <c r="D300" s="35"/>
      <c r="E300" s="25" t="s">
        <v>637</v>
      </c>
      <c r="F300" s="25" t="s">
        <v>626</v>
      </c>
      <c r="G300" s="25" t="s">
        <v>1074</v>
      </c>
      <c r="H300" s="25"/>
      <c r="I300" s="49"/>
    </row>
    <row r="301" spans="1:9" x14ac:dyDescent="0.3">
      <c r="A301" s="34"/>
      <c r="B301" s="35"/>
      <c r="C301" s="28"/>
      <c r="D301" s="35"/>
      <c r="E301" s="25" t="s">
        <v>640</v>
      </c>
      <c r="F301" s="25" t="s">
        <v>1075</v>
      </c>
      <c r="G301" s="25" t="s">
        <v>264</v>
      </c>
      <c r="H301" s="25">
        <v>42</v>
      </c>
      <c r="I301" s="49"/>
    </row>
    <row r="302" spans="1:9" x14ac:dyDescent="0.3">
      <c r="A302" s="34"/>
      <c r="B302" s="35"/>
      <c r="C302" s="28"/>
      <c r="D302" s="35"/>
      <c r="E302" s="25" t="s">
        <v>642</v>
      </c>
      <c r="F302" s="25" t="s">
        <v>626</v>
      </c>
      <c r="G302" s="25" t="s">
        <v>1074</v>
      </c>
      <c r="H302" s="25"/>
      <c r="I302" s="49"/>
    </row>
    <row r="303" spans="1:9" x14ac:dyDescent="0.3">
      <c r="A303" s="34"/>
      <c r="B303" s="35"/>
      <c r="C303" s="28"/>
      <c r="D303" s="35"/>
      <c r="E303" s="25" t="s">
        <v>645</v>
      </c>
      <c r="F303" s="25" t="s">
        <v>626</v>
      </c>
      <c r="G303" s="25" t="s">
        <v>1074</v>
      </c>
      <c r="H303" s="25"/>
      <c r="I303" s="49"/>
    </row>
    <row r="304" spans="1:9" ht="15" thickBot="1" x14ac:dyDescent="0.35">
      <c r="A304" s="38"/>
      <c r="B304" s="40"/>
      <c r="C304" s="50"/>
      <c r="D304" s="40"/>
      <c r="E304" s="39" t="s">
        <v>711</v>
      </c>
      <c r="F304" s="25" t="s">
        <v>626</v>
      </c>
      <c r="G304" s="25" t="s">
        <v>1074</v>
      </c>
      <c r="H304" s="39"/>
      <c r="I304" s="51"/>
    </row>
    <row r="305" spans="1:9" x14ac:dyDescent="0.3">
      <c r="A305" s="30" t="s">
        <v>638</v>
      </c>
      <c r="B305" s="31" t="s">
        <v>150</v>
      </c>
      <c r="C305" s="47" t="s">
        <v>621</v>
      </c>
      <c r="D305" s="31" t="s">
        <v>962</v>
      </c>
      <c r="E305" s="32" t="s">
        <v>620</v>
      </c>
      <c r="F305" s="32" t="s">
        <v>626</v>
      </c>
      <c r="G305" s="32" t="s">
        <v>1074</v>
      </c>
      <c r="H305" s="32"/>
      <c r="I305" s="48"/>
    </row>
    <row r="306" spans="1:9" x14ac:dyDescent="0.3">
      <c r="A306" s="34"/>
      <c r="B306" s="35"/>
      <c r="C306" s="28"/>
      <c r="D306" s="35"/>
      <c r="E306" s="25" t="s">
        <v>652</v>
      </c>
      <c r="F306" s="25" t="s">
        <v>1075</v>
      </c>
      <c r="G306" s="25" t="s">
        <v>145</v>
      </c>
      <c r="H306" s="25">
        <v>22</v>
      </c>
      <c r="I306" s="49">
        <v>11</v>
      </c>
    </row>
    <row r="307" spans="1:9" x14ac:dyDescent="0.3">
      <c r="A307" s="34"/>
      <c r="B307" s="35"/>
      <c r="C307" s="28"/>
      <c r="D307" s="35"/>
      <c r="E307" s="25" t="s">
        <v>630</v>
      </c>
      <c r="F307" s="25" t="s">
        <v>626</v>
      </c>
      <c r="G307" s="25" t="s">
        <v>1074</v>
      </c>
      <c r="H307" s="25"/>
      <c r="I307" s="49"/>
    </row>
    <row r="308" spans="1:9" x14ac:dyDescent="0.3">
      <c r="A308" s="34"/>
      <c r="B308" s="35"/>
      <c r="C308" s="28"/>
      <c r="D308" s="35"/>
      <c r="E308" s="25" t="s">
        <v>634</v>
      </c>
      <c r="F308" s="25" t="s">
        <v>1075</v>
      </c>
      <c r="G308" s="25" t="s">
        <v>499</v>
      </c>
      <c r="H308" s="25">
        <v>80</v>
      </c>
      <c r="I308" s="49">
        <v>39</v>
      </c>
    </row>
    <row r="309" spans="1:9" x14ac:dyDescent="0.3">
      <c r="A309" s="34"/>
      <c r="B309" s="35"/>
      <c r="C309" s="28"/>
      <c r="D309" s="35"/>
      <c r="E309" s="25" t="s">
        <v>637</v>
      </c>
      <c r="F309" s="25" t="s">
        <v>1075</v>
      </c>
      <c r="G309" s="25" t="s">
        <v>258</v>
      </c>
      <c r="H309" s="25">
        <v>41</v>
      </c>
      <c r="I309" s="49"/>
    </row>
    <row r="310" spans="1:9" ht="15" thickBot="1" x14ac:dyDescent="0.35">
      <c r="A310" s="38"/>
      <c r="B310" s="40"/>
      <c r="C310" s="50"/>
      <c r="D310" s="40"/>
      <c r="E310" s="39" t="s">
        <v>640</v>
      </c>
      <c r="F310" s="25" t="s">
        <v>626</v>
      </c>
      <c r="G310" s="25" t="s">
        <v>1074</v>
      </c>
      <c r="H310" s="39"/>
      <c r="I310" s="51"/>
    </row>
    <row r="311" spans="1:9" x14ac:dyDescent="0.3">
      <c r="A311" s="30" t="s">
        <v>638</v>
      </c>
      <c r="B311" s="31" t="s">
        <v>160</v>
      </c>
      <c r="C311" s="47" t="s">
        <v>621</v>
      </c>
      <c r="D311" s="31" t="s">
        <v>957</v>
      </c>
      <c r="E311" s="32" t="s">
        <v>620</v>
      </c>
      <c r="F311" s="32" t="s">
        <v>626</v>
      </c>
      <c r="G311" s="32" t="s">
        <v>1074</v>
      </c>
      <c r="H311" s="32"/>
      <c r="I311" s="48"/>
    </row>
    <row r="312" spans="1:9" x14ac:dyDescent="0.3">
      <c r="A312" s="34"/>
      <c r="B312" s="35"/>
      <c r="C312" s="28"/>
      <c r="D312" s="35"/>
      <c r="E312" s="25" t="s">
        <v>652</v>
      </c>
      <c r="F312" s="25" t="s">
        <v>1075</v>
      </c>
      <c r="G312" s="25" t="s">
        <v>156</v>
      </c>
      <c r="H312" s="25">
        <v>23</v>
      </c>
      <c r="I312" s="49">
        <v>12</v>
      </c>
    </row>
    <row r="313" spans="1:9" x14ac:dyDescent="0.3">
      <c r="A313" s="34"/>
      <c r="B313" s="35"/>
      <c r="C313" s="28"/>
      <c r="D313" s="35"/>
      <c r="E313" s="25" t="s">
        <v>630</v>
      </c>
      <c r="F313" s="25" t="s">
        <v>626</v>
      </c>
      <c r="G313" s="25" t="s">
        <v>1074</v>
      </c>
      <c r="H313" s="25"/>
      <c r="I313" s="49"/>
    </row>
    <row r="314" spans="1:9" x14ac:dyDescent="0.3">
      <c r="A314" s="34"/>
      <c r="B314" s="35"/>
      <c r="C314" s="28"/>
      <c r="D314" s="35"/>
      <c r="E314" s="25" t="s">
        <v>634</v>
      </c>
      <c r="F314" s="25" t="s">
        <v>1075</v>
      </c>
      <c r="G314" s="25" t="s">
        <v>504</v>
      </c>
      <c r="H314" s="25">
        <v>81</v>
      </c>
      <c r="I314" s="49">
        <v>40</v>
      </c>
    </row>
    <row r="315" spans="1:9" x14ac:dyDescent="0.3">
      <c r="A315" s="34"/>
      <c r="B315" s="35"/>
      <c r="C315" s="28"/>
      <c r="D315" s="35"/>
      <c r="E315" s="25" t="s">
        <v>637</v>
      </c>
      <c r="F315" s="25" t="s">
        <v>1075</v>
      </c>
      <c r="G315" s="25" t="s">
        <v>392</v>
      </c>
      <c r="H315" s="25">
        <v>59</v>
      </c>
      <c r="I315" s="49"/>
    </row>
    <row r="316" spans="1:9" x14ac:dyDescent="0.3">
      <c r="A316" s="34"/>
      <c r="B316" s="35"/>
      <c r="C316" s="28"/>
      <c r="D316" s="35"/>
      <c r="E316" s="25" t="s">
        <v>640</v>
      </c>
      <c r="F316" s="25" t="s">
        <v>1075</v>
      </c>
      <c r="G316" s="25" t="s">
        <v>264</v>
      </c>
      <c r="H316" s="25">
        <v>42</v>
      </c>
      <c r="I316" s="49"/>
    </row>
    <row r="317" spans="1:9" x14ac:dyDescent="0.3">
      <c r="A317" s="34"/>
      <c r="B317" s="35"/>
      <c r="C317" s="28"/>
      <c r="D317" s="35"/>
      <c r="E317" s="25" t="s">
        <v>642</v>
      </c>
      <c r="F317" s="25" t="s">
        <v>626</v>
      </c>
      <c r="G317" s="25" t="s">
        <v>1074</v>
      </c>
      <c r="H317" s="25"/>
      <c r="I317" s="49"/>
    </row>
    <row r="318" spans="1:9" ht="15" thickBot="1" x14ac:dyDescent="0.35">
      <c r="A318" s="38"/>
      <c r="B318" s="40"/>
      <c r="C318" s="50"/>
      <c r="D318" s="40"/>
      <c r="E318" s="39" t="s">
        <v>645</v>
      </c>
      <c r="F318" s="25" t="s">
        <v>626</v>
      </c>
      <c r="G318" s="25" t="s">
        <v>1074</v>
      </c>
      <c r="H318" s="39"/>
      <c r="I318" s="51"/>
    </row>
    <row r="319" spans="1:9" x14ac:dyDescent="0.3">
      <c r="A319" s="30" t="s">
        <v>638</v>
      </c>
      <c r="B319" s="31" t="s">
        <v>182</v>
      </c>
      <c r="C319" s="47" t="s">
        <v>621</v>
      </c>
      <c r="D319" s="31" t="s">
        <v>966</v>
      </c>
      <c r="E319" s="32" t="s">
        <v>620</v>
      </c>
      <c r="F319" s="32" t="s">
        <v>626</v>
      </c>
      <c r="G319" s="32" t="s">
        <v>1074</v>
      </c>
      <c r="H319" s="32"/>
      <c r="I319" s="48"/>
    </row>
    <row r="320" spans="1:9" x14ac:dyDescent="0.3">
      <c r="A320" s="34"/>
      <c r="B320" s="35"/>
      <c r="C320" s="28"/>
      <c r="D320" s="35"/>
      <c r="E320" s="25" t="s">
        <v>652</v>
      </c>
      <c r="F320" s="25" t="s">
        <v>1075</v>
      </c>
      <c r="G320" s="25" t="s">
        <v>178</v>
      </c>
      <c r="H320" s="25">
        <v>26</v>
      </c>
      <c r="I320" s="49">
        <v>13</v>
      </c>
    </row>
    <row r="321" spans="1:9" x14ac:dyDescent="0.3">
      <c r="A321" s="34"/>
      <c r="B321" s="35"/>
      <c r="C321" s="28"/>
      <c r="D321" s="35"/>
      <c r="E321" s="25" t="s">
        <v>630</v>
      </c>
      <c r="F321" s="25" t="s">
        <v>626</v>
      </c>
      <c r="G321" s="25" t="s">
        <v>1074</v>
      </c>
      <c r="H321" s="25"/>
      <c r="I321" s="49"/>
    </row>
    <row r="322" spans="1:9" x14ac:dyDescent="0.3">
      <c r="A322" s="34"/>
      <c r="B322" s="35"/>
      <c r="C322" s="28"/>
      <c r="D322" s="35"/>
      <c r="E322" s="25" t="s">
        <v>634</v>
      </c>
      <c r="F322" s="25" t="s">
        <v>1075</v>
      </c>
      <c r="G322" s="25" t="s">
        <v>374</v>
      </c>
      <c r="H322" s="25">
        <v>56</v>
      </c>
      <c r="I322" s="49">
        <v>28</v>
      </c>
    </row>
    <row r="323" spans="1:9" x14ac:dyDescent="0.3">
      <c r="A323" s="34"/>
      <c r="B323" s="35"/>
      <c r="C323" s="28"/>
      <c r="D323" s="35"/>
      <c r="E323" s="25" t="s">
        <v>637</v>
      </c>
      <c r="F323" s="25" t="s">
        <v>1075</v>
      </c>
      <c r="G323" s="25" t="s">
        <v>522</v>
      </c>
      <c r="H323" s="25">
        <v>84</v>
      </c>
      <c r="I323" s="49"/>
    </row>
    <row r="324" spans="1:9" ht="15" thickBot="1" x14ac:dyDescent="0.35">
      <c r="A324" s="38"/>
      <c r="B324" s="40"/>
      <c r="C324" s="50"/>
      <c r="D324" s="40"/>
      <c r="E324" s="39" t="s">
        <v>640</v>
      </c>
      <c r="F324" s="25" t="s">
        <v>626</v>
      </c>
      <c r="G324" s="25" t="s">
        <v>1074</v>
      </c>
      <c r="H324" s="39"/>
      <c r="I324" s="51"/>
    </row>
    <row r="325" spans="1:9" x14ac:dyDescent="0.3">
      <c r="A325" s="30" t="s">
        <v>638</v>
      </c>
      <c r="B325" s="31" t="s">
        <v>228</v>
      </c>
      <c r="C325" s="47" t="s">
        <v>621</v>
      </c>
      <c r="D325" s="31" t="s">
        <v>972</v>
      </c>
      <c r="E325" s="32" t="s">
        <v>620</v>
      </c>
      <c r="F325" s="32" t="s">
        <v>626</v>
      </c>
      <c r="G325" s="32" t="s">
        <v>1074</v>
      </c>
      <c r="H325" s="32"/>
      <c r="I325" s="48"/>
    </row>
    <row r="326" spans="1:9" x14ac:dyDescent="0.3">
      <c r="A326" s="34"/>
      <c r="B326" s="35"/>
      <c r="C326" s="28"/>
      <c r="D326" s="35"/>
      <c r="E326" s="25" t="s">
        <v>652</v>
      </c>
      <c r="F326" s="25" t="s">
        <v>1075</v>
      </c>
      <c r="G326" s="25" t="s">
        <v>225</v>
      </c>
      <c r="H326" s="25">
        <v>32</v>
      </c>
      <c r="I326" s="49"/>
    </row>
    <row r="327" spans="1:9" x14ac:dyDescent="0.3">
      <c r="A327" s="34"/>
      <c r="B327" s="35"/>
      <c r="C327" s="28"/>
      <c r="D327" s="35"/>
      <c r="E327" s="25" t="s">
        <v>630</v>
      </c>
      <c r="F327" s="25" t="s">
        <v>626</v>
      </c>
      <c r="G327" s="25" t="s">
        <v>1074</v>
      </c>
      <c r="H327" s="25"/>
      <c r="I327" s="49"/>
    </row>
    <row r="328" spans="1:9" x14ac:dyDescent="0.3">
      <c r="A328" s="34"/>
      <c r="B328" s="35"/>
      <c r="C328" s="28"/>
      <c r="D328" s="35"/>
      <c r="E328" s="25" t="s">
        <v>634</v>
      </c>
      <c r="F328" s="25" t="s">
        <v>1075</v>
      </c>
      <c r="G328" s="25" t="s">
        <v>366</v>
      </c>
      <c r="H328" s="25">
        <v>55</v>
      </c>
      <c r="I328" s="49">
        <v>27</v>
      </c>
    </row>
    <row r="329" spans="1:9" x14ac:dyDescent="0.3">
      <c r="A329" s="34"/>
      <c r="B329" s="35"/>
      <c r="C329" s="28"/>
      <c r="D329" s="35"/>
      <c r="E329" s="25" t="s">
        <v>637</v>
      </c>
      <c r="F329" s="25" t="s">
        <v>1075</v>
      </c>
      <c r="G329" s="25" t="s">
        <v>526</v>
      </c>
      <c r="H329" s="25">
        <v>85</v>
      </c>
      <c r="I329" s="49"/>
    </row>
    <row r="330" spans="1:9" ht="15" thickBot="1" x14ac:dyDescent="0.35">
      <c r="A330" s="38"/>
      <c r="B330" s="40"/>
      <c r="C330" s="50"/>
      <c r="D330" s="40"/>
      <c r="E330" s="39" t="s">
        <v>640</v>
      </c>
      <c r="F330" s="25" t="s">
        <v>626</v>
      </c>
      <c r="G330" s="25" t="s">
        <v>1074</v>
      </c>
      <c r="H330" s="39"/>
      <c r="I330" s="51"/>
    </row>
    <row r="331" spans="1:9" x14ac:dyDescent="0.3">
      <c r="A331" s="30" t="s">
        <v>638</v>
      </c>
      <c r="B331" s="31" t="s">
        <v>273</v>
      </c>
      <c r="C331" s="47" t="s">
        <v>621</v>
      </c>
      <c r="D331" s="31" t="s">
        <v>812</v>
      </c>
      <c r="E331" s="32" t="s">
        <v>620</v>
      </c>
      <c r="F331" s="32" t="s">
        <v>626</v>
      </c>
      <c r="G331" s="32" t="s">
        <v>1074</v>
      </c>
      <c r="H331" s="32"/>
      <c r="I331" s="48"/>
    </row>
    <row r="332" spans="1:9" x14ac:dyDescent="0.3">
      <c r="A332" s="34"/>
      <c r="B332" s="35"/>
      <c r="C332" s="28"/>
      <c r="D332" s="35"/>
      <c r="E332" s="25" t="s">
        <v>652</v>
      </c>
      <c r="F332" s="25" t="s">
        <v>1075</v>
      </c>
      <c r="G332" s="25" t="s">
        <v>269</v>
      </c>
      <c r="H332" s="25">
        <v>43</v>
      </c>
      <c r="I332" s="49"/>
    </row>
    <row r="333" spans="1:9" x14ac:dyDescent="0.3">
      <c r="A333" s="34"/>
      <c r="B333" s="35"/>
      <c r="C333" s="28"/>
      <c r="D333" s="35"/>
      <c r="E333" s="25" t="s">
        <v>630</v>
      </c>
      <c r="F333" s="25" t="s">
        <v>626</v>
      </c>
      <c r="G333" s="25" t="s">
        <v>1074</v>
      </c>
      <c r="H333" s="25"/>
      <c r="I333" s="49"/>
    </row>
    <row r="334" spans="1:9" x14ac:dyDescent="0.3">
      <c r="A334" s="34"/>
      <c r="B334" s="35"/>
      <c r="C334" s="28"/>
      <c r="D334" s="35"/>
      <c r="E334" s="25" t="s">
        <v>634</v>
      </c>
      <c r="F334" s="25" t="s">
        <v>1075</v>
      </c>
      <c r="G334" s="25" t="s">
        <v>358</v>
      </c>
      <c r="H334" s="25">
        <v>54</v>
      </c>
      <c r="I334" s="49">
        <v>26</v>
      </c>
    </row>
    <row r="335" spans="1:9" x14ac:dyDescent="0.3">
      <c r="A335" s="34"/>
      <c r="B335" s="35"/>
      <c r="C335" s="28"/>
      <c r="D335" s="35"/>
      <c r="E335" s="25" t="s">
        <v>637</v>
      </c>
      <c r="F335" s="25" t="s">
        <v>1075</v>
      </c>
      <c r="G335" s="25" t="s">
        <v>530</v>
      </c>
      <c r="H335" s="25">
        <v>88</v>
      </c>
      <c r="I335" s="49"/>
    </row>
    <row r="336" spans="1:9" ht="15" thickBot="1" x14ac:dyDescent="0.35">
      <c r="A336" s="38"/>
      <c r="B336" s="40"/>
      <c r="C336" s="50"/>
      <c r="D336" s="40"/>
      <c r="E336" s="39" t="s">
        <v>640</v>
      </c>
      <c r="F336" s="25" t="s">
        <v>626</v>
      </c>
      <c r="G336" s="25" t="s">
        <v>1074</v>
      </c>
      <c r="H336" s="39"/>
      <c r="I336" s="51"/>
    </row>
    <row r="337" spans="1:9" x14ac:dyDescent="0.3">
      <c r="A337" s="30" t="s">
        <v>638</v>
      </c>
      <c r="B337" s="31" t="s">
        <v>233</v>
      </c>
      <c r="C337" s="47" t="s">
        <v>621</v>
      </c>
      <c r="D337" s="31" t="s">
        <v>980</v>
      </c>
      <c r="E337" s="32" t="s">
        <v>620</v>
      </c>
      <c r="F337" s="32" t="s">
        <v>626</v>
      </c>
      <c r="G337" s="32" t="s">
        <v>1074</v>
      </c>
      <c r="H337" s="32"/>
      <c r="I337" s="48"/>
    </row>
    <row r="338" spans="1:9" x14ac:dyDescent="0.3">
      <c r="A338" s="34"/>
      <c r="B338" s="35"/>
      <c r="C338" s="28"/>
      <c r="D338" s="35"/>
      <c r="E338" s="25" t="s">
        <v>652</v>
      </c>
      <c r="F338" s="25" t="s">
        <v>1075</v>
      </c>
      <c r="G338" s="25" t="s">
        <v>275</v>
      </c>
      <c r="H338" s="25">
        <v>44</v>
      </c>
      <c r="I338" s="49">
        <v>20</v>
      </c>
    </row>
    <row r="339" spans="1:9" x14ac:dyDescent="0.3">
      <c r="A339" s="34"/>
      <c r="B339" s="35"/>
      <c r="C339" s="28"/>
      <c r="D339" s="35"/>
      <c r="E339" s="25" t="s">
        <v>630</v>
      </c>
      <c r="F339" s="25" t="s">
        <v>626</v>
      </c>
      <c r="G339" s="25" t="s">
        <v>1074</v>
      </c>
      <c r="H339" s="25"/>
      <c r="I339" s="49"/>
    </row>
    <row r="340" spans="1:9" x14ac:dyDescent="0.3">
      <c r="A340" s="34"/>
      <c r="B340" s="35"/>
      <c r="C340" s="28"/>
      <c r="D340" s="35"/>
      <c r="E340" s="25" t="s">
        <v>634</v>
      </c>
      <c r="F340" s="25" t="s">
        <v>1075</v>
      </c>
      <c r="G340" s="25" t="s">
        <v>331</v>
      </c>
      <c r="H340" s="25">
        <v>51</v>
      </c>
      <c r="I340" s="49"/>
    </row>
    <row r="341" spans="1:9" x14ac:dyDescent="0.3">
      <c r="A341" s="34"/>
      <c r="B341" s="35"/>
      <c r="C341" s="28"/>
      <c r="D341" s="35"/>
      <c r="E341" s="25" t="s">
        <v>637</v>
      </c>
      <c r="F341" s="25" t="s">
        <v>1075</v>
      </c>
      <c r="G341" s="25" t="s">
        <v>231</v>
      </c>
      <c r="H341" s="25">
        <v>33</v>
      </c>
      <c r="I341" s="49">
        <v>18</v>
      </c>
    </row>
    <row r="342" spans="1:9" x14ac:dyDescent="0.3">
      <c r="A342" s="34"/>
      <c r="B342" s="35"/>
      <c r="C342" s="28"/>
      <c r="D342" s="35"/>
      <c r="E342" s="25" t="s">
        <v>640</v>
      </c>
      <c r="F342" s="25" t="s">
        <v>626</v>
      </c>
      <c r="G342" s="25" t="s">
        <v>1074</v>
      </c>
      <c r="H342" s="25"/>
      <c r="I342" s="49"/>
    </row>
    <row r="343" spans="1:9" ht="15" thickBot="1" x14ac:dyDescent="0.35">
      <c r="A343" s="38"/>
      <c r="B343" s="40"/>
      <c r="C343" s="50"/>
      <c r="D343" s="40"/>
      <c r="E343" s="39" t="s">
        <v>642</v>
      </c>
      <c r="F343" s="25" t="s">
        <v>626</v>
      </c>
      <c r="G343" s="25" t="s">
        <v>1074</v>
      </c>
      <c r="H343" s="39"/>
      <c r="I343" s="51"/>
    </row>
    <row r="344" spans="1:9" x14ac:dyDescent="0.3">
      <c r="A344" s="30" t="s">
        <v>638</v>
      </c>
      <c r="B344" s="31" t="s">
        <v>43</v>
      </c>
      <c r="C344" s="47" t="s">
        <v>621</v>
      </c>
      <c r="D344" s="31" t="s">
        <v>656</v>
      </c>
      <c r="E344" s="32" t="s">
        <v>620</v>
      </c>
      <c r="F344" s="32" t="s">
        <v>626</v>
      </c>
      <c r="G344" s="32" t="s">
        <v>1074</v>
      </c>
      <c r="H344" s="32"/>
      <c r="I344" s="48"/>
    </row>
    <row r="345" spans="1:9" x14ac:dyDescent="0.3">
      <c r="A345" s="34"/>
      <c r="B345" s="35"/>
      <c r="C345" s="28"/>
      <c r="D345" s="35"/>
      <c r="E345" s="25" t="s">
        <v>652</v>
      </c>
      <c r="F345" s="25" t="s">
        <v>1075</v>
      </c>
      <c r="G345" s="25" t="s">
        <v>38</v>
      </c>
      <c r="H345" s="25">
        <v>2</v>
      </c>
      <c r="I345" s="49"/>
    </row>
    <row r="346" spans="1:9" x14ac:dyDescent="0.3">
      <c r="A346" s="34"/>
      <c r="B346" s="35"/>
      <c r="C346" s="28"/>
      <c r="D346" s="35"/>
      <c r="E346" s="25" t="s">
        <v>630</v>
      </c>
      <c r="F346" s="25" t="s">
        <v>1075</v>
      </c>
      <c r="G346" s="25" t="s">
        <v>492</v>
      </c>
      <c r="H346" s="25">
        <v>79</v>
      </c>
      <c r="I346" s="49">
        <v>38</v>
      </c>
    </row>
    <row r="347" spans="1:9" x14ac:dyDescent="0.3">
      <c r="A347" s="34"/>
      <c r="B347" s="35"/>
      <c r="C347" s="28"/>
      <c r="D347" s="35"/>
      <c r="E347" s="25" t="s">
        <v>634</v>
      </c>
      <c r="F347" s="25" t="s">
        <v>626</v>
      </c>
      <c r="G347" s="25" t="s">
        <v>1074</v>
      </c>
      <c r="H347" s="25"/>
      <c r="I347" s="49"/>
    </row>
    <row r="348" spans="1:9" x14ac:dyDescent="0.3">
      <c r="A348" s="34"/>
      <c r="B348" s="35"/>
      <c r="C348" s="28"/>
      <c r="D348" s="35"/>
      <c r="E348" s="25" t="s">
        <v>637</v>
      </c>
      <c r="F348" s="25" t="s">
        <v>626</v>
      </c>
      <c r="G348" s="25" t="s">
        <v>1074</v>
      </c>
      <c r="H348" s="25"/>
      <c r="I348" s="49"/>
    </row>
    <row r="349" spans="1:9" x14ac:dyDescent="0.3">
      <c r="A349" s="34"/>
      <c r="B349" s="35"/>
      <c r="C349" s="28"/>
      <c r="D349" s="35"/>
      <c r="E349" s="25" t="s">
        <v>640</v>
      </c>
      <c r="F349" s="25" t="s">
        <v>626</v>
      </c>
      <c r="G349" s="25" t="s">
        <v>1074</v>
      </c>
      <c r="H349" s="25"/>
      <c r="I349" s="49"/>
    </row>
    <row r="350" spans="1:9" x14ac:dyDescent="0.3">
      <c r="A350" s="34"/>
      <c r="B350" s="35"/>
      <c r="C350" s="28"/>
      <c r="D350" s="35"/>
      <c r="E350" s="25" t="s">
        <v>642</v>
      </c>
      <c r="F350" s="25" t="s">
        <v>626</v>
      </c>
      <c r="G350" s="25" t="s">
        <v>1074</v>
      </c>
      <c r="H350" s="25"/>
      <c r="I350" s="49"/>
    </row>
    <row r="351" spans="1:9" x14ac:dyDescent="0.3">
      <c r="A351" s="34"/>
      <c r="B351" s="35"/>
      <c r="C351" s="28"/>
      <c r="D351" s="35"/>
      <c r="E351" s="25" t="s">
        <v>645</v>
      </c>
      <c r="F351" s="25" t="s">
        <v>626</v>
      </c>
      <c r="G351" s="25" t="s">
        <v>1074</v>
      </c>
      <c r="H351" s="25"/>
      <c r="I351" s="49"/>
    </row>
    <row r="352" spans="1:9" x14ac:dyDescent="0.3">
      <c r="A352" s="34"/>
      <c r="B352" s="35"/>
      <c r="C352" s="28"/>
      <c r="D352" s="35"/>
      <c r="E352" s="25" t="s">
        <v>711</v>
      </c>
      <c r="F352" s="25" t="s">
        <v>1075</v>
      </c>
      <c r="G352" s="25" t="s">
        <v>553</v>
      </c>
      <c r="H352" s="25">
        <v>93</v>
      </c>
      <c r="I352" s="49"/>
    </row>
    <row r="353" spans="1:9" x14ac:dyDescent="0.3">
      <c r="A353" s="34"/>
      <c r="B353" s="35"/>
      <c r="C353" s="28"/>
      <c r="D353" s="35"/>
      <c r="E353" s="25" t="s">
        <v>1024</v>
      </c>
      <c r="F353" s="25" t="s">
        <v>626</v>
      </c>
      <c r="G353" s="25" t="s">
        <v>1074</v>
      </c>
      <c r="H353" s="25"/>
      <c r="I353" s="49"/>
    </row>
    <row r="354" spans="1:9" ht="15" thickBot="1" x14ac:dyDescent="0.35">
      <c r="A354" s="38"/>
      <c r="B354" s="40"/>
      <c r="C354" s="50"/>
      <c r="D354" s="40"/>
      <c r="E354" s="39" t="s">
        <v>996</v>
      </c>
      <c r="F354" s="39" t="s">
        <v>1075</v>
      </c>
      <c r="G354" s="39" t="s">
        <v>269</v>
      </c>
      <c r="H354" s="39">
        <v>43</v>
      </c>
      <c r="I354" s="51"/>
    </row>
    <row r="355" spans="1:9" x14ac:dyDescent="0.3">
      <c r="A355" s="30" t="s">
        <v>638</v>
      </c>
      <c r="B355" s="31" t="s">
        <v>30</v>
      </c>
      <c r="C355" s="47" t="s">
        <v>621</v>
      </c>
      <c r="D355" s="31" t="s">
        <v>670</v>
      </c>
      <c r="E355" s="32" t="s">
        <v>620</v>
      </c>
      <c r="F355" s="32" t="s">
        <v>626</v>
      </c>
      <c r="G355" s="32" t="s">
        <v>1074</v>
      </c>
      <c r="H355" s="32"/>
      <c r="I355" s="48"/>
    </row>
    <row r="356" spans="1:9" x14ac:dyDescent="0.3">
      <c r="A356" s="34"/>
      <c r="B356" s="35"/>
      <c r="C356" s="28"/>
      <c r="D356" s="35"/>
      <c r="E356" s="25" t="s">
        <v>652</v>
      </c>
      <c r="F356" s="25" t="s">
        <v>1075</v>
      </c>
      <c r="G356" s="25" t="s">
        <v>485</v>
      </c>
      <c r="H356" s="25">
        <v>78</v>
      </c>
      <c r="I356" s="49">
        <v>37</v>
      </c>
    </row>
    <row r="357" spans="1:9" x14ac:dyDescent="0.3">
      <c r="A357" s="34"/>
      <c r="B357" s="35"/>
      <c r="C357" s="28"/>
      <c r="D357" s="35"/>
      <c r="E357" s="25" t="s">
        <v>630</v>
      </c>
      <c r="F357" s="25" t="s">
        <v>1075</v>
      </c>
      <c r="G357" s="25" t="s">
        <v>23</v>
      </c>
      <c r="H357" s="25">
        <v>1</v>
      </c>
      <c r="I357" s="49"/>
    </row>
    <row r="358" spans="1:9" x14ac:dyDescent="0.3">
      <c r="A358" s="34"/>
      <c r="B358" s="35"/>
      <c r="C358" s="28"/>
      <c r="D358" s="35"/>
      <c r="E358" s="25" t="s">
        <v>634</v>
      </c>
      <c r="F358" s="25" t="s">
        <v>626</v>
      </c>
      <c r="G358" s="25" t="s">
        <v>1074</v>
      </c>
      <c r="H358" s="25"/>
      <c r="I358" s="49"/>
    </row>
    <row r="359" spans="1:9" x14ac:dyDescent="0.3">
      <c r="A359" s="34"/>
      <c r="B359" s="35"/>
      <c r="C359" s="28"/>
      <c r="D359" s="35"/>
      <c r="E359" s="25" t="s">
        <v>637</v>
      </c>
      <c r="F359" s="25" t="s">
        <v>626</v>
      </c>
      <c r="G359" s="25" t="s">
        <v>1074</v>
      </c>
      <c r="H359" s="25"/>
      <c r="I359" s="49"/>
    </row>
    <row r="360" spans="1:9" x14ac:dyDescent="0.3">
      <c r="A360" s="34"/>
      <c r="B360" s="35"/>
      <c r="C360" s="28"/>
      <c r="D360" s="35"/>
      <c r="E360" s="25" t="s">
        <v>640</v>
      </c>
      <c r="F360" s="25" t="s">
        <v>626</v>
      </c>
      <c r="G360" s="25" t="s">
        <v>1074</v>
      </c>
      <c r="H360" s="25"/>
      <c r="I360" s="49"/>
    </row>
    <row r="361" spans="1:9" x14ac:dyDescent="0.3">
      <c r="A361" s="34"/>
      <c r="B361" s="35"/>
      <c r="C361" s="28"/>
      <c r="D361" s="35"/>
      <c r="E361" s="25" t="s">
        <v>642</v>
      </c>
      <c r="F361" s="25" t="s">
        <v>626</v>
      </c>
      <c r="G361" s="25" t="s">
        <v>1074</v>
      </c>
      <c r="H361" s="25"/>
      <c r="I361" s="49"/>
    </row>
    <row r="362" spans="1:9" x14ac:dyDescent="0.3">
      <c r="A362" s="34"/>
      <c r="B362" s="35"/>
      <c r="C362" s="28"/>
      <c r="D362" s="35"/>
      <c r="E362" s="25" t="s">
        <v>645</v>
      </c>
      <c r="F362" s="25" t="s">
        <v>1075</v>
      </c>
      <c r="G362" s="25" t="s">
        <v>557</v>
      </c>
      <c r="H362" s="25">
        <v>94</v>
      </c>
      <c r="I362" s="49"/>
    </row>
    <row r="363" spans="1:9" x14ac:dyDescent="0.3">
      <c r="A363" s="34"/>
      <c r="B363" s="35"/>
      <c r="C363" s="28"/>
      <c r="D363" s="35"/>
      <c r="E363" s="25" t="s">
        <v>711</v>
      </c>
      <c r="F363" s="25" t="s">
        <v>626</v>
      </c>
      <c r="G363" s="25" t="s">
        <v>1074</v>
      </c>
      <c r="H363" s="25"/>
      <c r="I363" s="49"/>
    </row>
    <row r="364" spans="1:9" ht="15" thickBot="1" x14ac:dyDescent="0.35">
      <c r="A364" s="38"/>
      <c r="B364" s="40"/>
      <c r="C364" s="50"/>
      <c r="D364" s="40"/>
      <c r="E364" s="39" t="s">
        <v>1024</v>
      </c>
      <c r="F364" s="39" t="s">
        <v>1075</v>
      </c>
      <c r="G364" s="39" t="s">
        <v>225</v>
      </c>
      <c r="H364" s="39">
        <v>32</v>
      </c>
      <c r="I364" s="51"/>
    </row>
    <row r="365" spans="1:9" x14ac:dyDescent="0.3">
      <c r="A365" s="30" t="s">
        <v>638</v>
      </c>
      <c r="B365" s="31" t="s">
        <v>91</v>
      </c>
      <c r="C365" s="47" t="s">
        <v>621</v>
      </c>
      <c r="D365" s="31" t="s">
        <v>684</v>
      </c>
      <c r="E365" s="32" t="s">
        <v>620</v>
      </c>
      <c r="F365" s="32" t="s">
        <v>626</v>
      </c>
      <c r="G365" s="32" t="s">
        <v>1074</v>
      </c>
      <c r="H365" s="32"/>
      <c r="I365" s="48"/>
    </row>
    <row r="366" spans="1:9" x14ac:dyDescent="0.3">
      <c r="A366" s="34"/>
      <c r="B366" s="35"/>
      <c r="C366" s="28"/>
      <c r="D366" s="35"/>
      <c r="E366" s="25" t="s">
        <v>652</v>
      </c>
      <c r="F366" s="25" t="s">
        <v>1075</v>
      </c>
      <c r="G366" s="25" t="s">
        <v>440</v>
      </c>
      <c r="H366" s="25">
        <v>71</v>
      </c>
      <c r="I366" s="49">
        <v>34</v>
      </c>
    </row>
    <row r="367" spans="1:9" x14ac:dyDescent="0.3">
      <c r="A367" s="34"/>
      <c r="B367" s="35"/>
      <c r="C367" s="28"/>
      <c r="D367" s="35"/>
      <c r="E367" s="25" t="s">
        <v>630</v>
      </c>
      <c r="F367" s="25" t="s">
        <v>1075</v>
      </c>
      <c r="G367" s="25" t="s">
        <v>85</v>
      </c>
      <c r="H367" s="25">
        <v>6</v>
      </c>
      <c r="I367" s="49"/>
    </row>
    <row r="368" spans="1:9" x14ac:dyDescent="0.3">
      <c r="A368" s="34"/>
      <c r="B368" s="35"/>
      <c r="C368" s="28"/>
      <c r="D368" s="35"/>
      <c r="E368" s="25" t="s">
        <v>634</v>
      </c>
      <c r="F368" s="25" t="s">
        <v>1075</v>
      </c>
      <c r="G368" s="25" t="s">
        <v>452</v>
      </c>
      <c r="H368" s="25">
        <v>73</v>
      </c>
      <c r="I368" s="49">
        <v>36</v>
      </c>
    </row>
    <row r="369" spans="1:9" x14ac:dyDescent="0.3">
      <c r="A369" s="34"/>
      <c r="B369" s="35"/>
      <c r="C369" s="28"/>
      <c r="D369" s="35"/>
      <c r="E369" s="25" t="s">
        <v>637</v>
      </c>
      <c r="F369" s="25" t="s">
        <v>626</v>
      </c>
      <c r="G369" s="25" t="s">
        <v>1074</v>
      </c>
      <c r="H369" s="25"/>
      <c r="I369" s="49"/>
    </row>
    <row r="370" spans="1:9" x14ac:dyDescent="0.3">
      <c r="A370" s="34"/>
      <c r="B370" s="35"/>
      <c r="C370" s="28"/>
      <c r="D370" s="35"/>
      <c r="E370" s="25" t="s">
        <v>640</v>
      </c>
      <c r="F370" s="25" t="s">
        <v>626</v>
      </c>
      <c r="G370" s="25" t="s">
        <v>1074</v>
      </c>
      <c r="H370" s="25"/>
      <c r="I370" s="49"/>
    </row>
    <row r="371" spans="1:9" x14ac:dyDescent="0.3">
      <c r="A371" s="34"/>
      <c r="B371" s="35"/>
      <c r="C371" s="28"/>
      <c r="D371" s="35"/>
      <c r="E371" s="25" t="s">
        <v>642</v>
      </c>
      <c r="F371" s="25" t="s">
        <v>626</v>
      </c>
      <c r="G371" s="25" t="s">
        <v>1074</v>
      </c>
      <c r="H371" s="25"/>
      <c r="I371" s="49"/>
    </row>
    <row r="372" spans="1:9" x14ac:dyDescent="0.3">
      <c r="A372" s="34"/>
      <c r="B372" s="35"/>
      <c r="C372" s="28"/>
      <c r="D372" s="35"/>
      <c r="E372" s="25" t="s">
        <v>645</v>
      </c>
      <c r="F372" s="25" t="s">
        <v>1075</v>
      </c>
      <c r="G372" s="25" t="s">
        <v>561</v>
      </c>
      <c r="H372" s="25">
        <v>95</v>
      </c>
      <c r="I372" s="49">
        <v>45</v>
      </c>
    </row>
    <row r="373" spans="1:9" ht="15" thickBot="1" x14ac:dyDescent="0.35">
      <c r="A373" s="38"/>
      <c r="B373" s="40"/>
      <c r="C373" s="50"/>
      <c r="D373" s="40"/>
      <c r="E373" s="39" t="s">
        <v>711</v>
      </c>
      <c r="F373" s="25" t="s">
        <v>626</v>
      </c>
      <c r="G373" s="25" t="s">
        <v>1074</v>
      </c>
      <c r="H373" s="39"/>
      <c r="I373" s="51"/>
    </row>
    <row r="374" spans="1:9" x14ac:dyDescent="0.3">
      <c r="A374" s="30" t="s">
        <v>638</v>
      </c>
      <c r="B374" s="31" t="s">
        <v>79</v>
      </c>
      <c r="C374" s="47" t="s">
        <v>621</v>
      </c>
      <c r="D374" s="31" t="s">
        <v>698</v>
      </c>
      <c r="E374" s="32" t="s">
        <v>620</v>
      </c>
      <c r="F374" s="32" t="s">
        <v>626</v>
      </c>
      <c r="G374" s="32" t="s">
        <v>1074</v>
      </c>
      <c r="H374" s="32"/>
      <c r="I374" s="48"/>
    </row>
    <row r="375" spans="1:9" x14ac:dyDescent="0.3">
      <c r="A375" s="34"/>
      <c r="B375" s="35"/>
      <c r="C375" s="28"/>
      <c r="D375" s="35"/>
      <c r="E375" s="25" t="s">
        <v>652</v>
      </c>
      <c r="F375" s="25" t="s">
        <v>1075</v>
      </c>
      <c r="G375" s="25" t="s">
        <v>74</v>
      </c>
      <c r="H375" s="25">
        <v>5</v>
      </c>
      <c r="I375" s="49"/>
    </row>
    <row r="376" spans="1:9" x14ac:dyDescent="0.3">
      <c r="A376" s="34"/>
      <c r="B376" s="35"/>
      <c r="C376" s="28"/>
      <c r="D376" s="35"/>
      <c r="E376" s="25" t="s">
        <v>630</v>
      </c>
      <c r="F376" s="25" t="s">
        <v>1075</v>
      </c>
      <c r="G376" s="25" t="s">
        <v>433</v>
      </c>
      <c r="H376" s="25">
        <v>70</v>
      </c>
      <c r="I376" s="49">
        <v>33</v>
      </c>
    </row>
    <row r="377" spans="1:9" x14ac:dyDescent="0.3">
      <c r="A377" s="34"/>
      <c r="B377" s="35"/>
      <c r="C377" s="28"/>
      <c r="D377" s="35"/>
      <c r="E377" s="25" t="s">
        <v>634</v>
      </c>
      <c r="F377" s="25" t="s">
        <v>1075</v>
      </c>
      <c r="G377" s="25" t="s">
        <v>446</v>
      </c>
      <c r="H377" s="25">
        <v>72</v>
      </c>
      <c r="I377" s="49">
        <v>35</v>
      </c>
    </row>
    <row r="378" spans="1:9" x14ac:dyDescent="0.3">
      <c r="A378" s="34"/>
      <c r="B378" s="35"/>
      <c r="C378" s="28"/>
      <c r="D378" s="35"/>
      <c r="E378" s="25" t="s">
        <v>637</v>
      </c>
      <c r="F378" s="25" t="s">
        <v>626</v>
      </c>
      <c r="G378" s="25" t="s">
        <v>1074</v>
      </c>
      <c r="H378" s="25"/>
      <c r="I378" s="49"/>
    </row>
    <row r="379" spans="1:9" x14ac:dyDescent="0.3">
      <c r="A379" s="34"/>
      <c r="B379" s="35"/>
      <c r="C379" s="28"/>
      <c r="D379" s="35"/>
      <c r="E379" s="25" t="s">
        <v>640</v>
      </c>
      <c r="F379" s="25" t="s">
        <v>1075</v>
      </c>
      <c r="G379" s="25" t="s">
        <v>95</v>
      </c>
      <c r="H379" s="25">
        <v>7</v>
      </c>
      <c r="I379" s="49"/>
    </row>
    <row r="380" spans="1:9" x14ac:dyDescent="0.3">
      <c r="A380" s="34"/>
      <c r="B380" s="35"/>
      <c r="C380" s="28"/>
      <c r="D380" s="35"/>
      <c r="E380" s="25" t="s">
        <v>642</v>
      </c>
      <c r="F380" s="25" t="s">
        <v>626</v>
      </c>
      <c r="G380" s="25" t="s">
        <v>1074</v>
      </c>
      <c r="H380" s="25"/>
      <c r="I380" s="49"/>
    </row>
    <row r="381" spans="1:9" x14ac:dyDescent="0.3">
      <c r="A381" s="34"/>
      <c r="B381" s="35"/>
      <c r="C381" s="28"/>
      <c r="D381" s="35"/>
      <c r="E381" s="25" t="s">
        <v>645</v>
      </c>
      <c r="F381" s="25" t="s">
        <v>1075</v>
      </c>
      <c r="G381" s="25" t="s">
        <v>248</v>
      </c>
      <c r="H381" s="25">
        <v>39</v>
      </c>
      <c r="I381" s="49">
        <v>19</v>
      </c>
    </row>
    <row r="382" spans="1:9" x14ac:dyDescent="0.3">
      <c r="A382" s="34"/>
      <c r="B382" s="35"/>
      <c r="C382" s="28"/>
      <c r="D382" s="35"/>
      <c r="E382" s="25" t="s">
        <v>711</v>
      </c>
      <c r="F382" s="25" t="s">
        <v>1075</v>
      </c>
      <c r="G382" s="25" t="s">
        <v>567</v>
      </c>
      <c r="H382" s="25">
        <v>96</v>
      </c>
      <c r="I382" s="49">
        <v>46</v>
      </c>
    </row>
    <row r="383" spans="1:9" x14ac:dyDescent="0.3">
      <c r="A383" s="34"/>
      <c r="B383" s="35"/>
      <c r="C383" s="28"/>
      <c r="D383" s="35"/>
      <c r="E383" s="25" t="s">
        <v>1024</v>
      </c>
      <c r="F383" s="25" t="s">
        <v>626</v>
      </c>
      <c r="G383" s="25" t="s">
        <v>1074</v>
      </c>
      <c r="H383" s="25"/>
      <c r="I383" s="49"/>
    </row>
    <row r="384" spans="1:9" x14ac:dyDescent="0.3">
      <c r="A384" s="34"/>
      <c r="B384" s="35"/>
      <c r="C384" s="28"/>
      <c r="D384" s="35"/>
      <c r="E384" s="25" t="s">
        <v>996</v>
      </c>
      <c r="F384" s="25" t="s">
        <v>626</v>
      </c>
      <c r="G384" s="25" t="s">
        <v>1074</v>
      </c>
      <c r="H384" s="25"/>
      <c r="I384" s="49"/>
    </row>
    <row r="385" spans="1:9" ht="15" thickBot="1" x14ac:dyDescent="0.35">
      <c r="A385" s="38"/>
      <c r="B385" s="40"/>
      <c r="C385" s="50"/>
      <c r="D385" s="40"/>
      <c r="E385" s="39" t="s">
        <v>1104</v>
      </c>
      <c r="F385" s="25" t="s">
        <v>626</v>
      </c>
      <c r="G385" s="25" t="s">
        <v>1074</v>
      </c>
      <c r="H385" s="39"/>
      <c r="I385" s="51"/>
    </row>
    <row r="386" spans="1:9" x14ac:dyDescent="0.3">
      <c r="A386" s="30" t="s">
        <v>638</v>
      </c>
      <c r="B386" s="31" t="s">
        <v>118</v>
      </c>
      <c r="C386" s="47" t="s">
        <v>621</v>
      </c>
      <c r="D386" s="31" t="s">
        <v>715</v>
      </c>
      <c r="E386" s="32" t="s">
        <v>620</v>
      </c>
      <c r="F386" s="32" t="s">
        <v>626</v>
      </c>
      <c r="G386" s="32" t="s">
        <v>1074</v>
      </c>
      <c r="H386" s="32"/>
      <c r="I386" s="48"/>
    </row>
    <row r="387" spans="1:9" x14ac:dyDescent="0.3">
      <c r="A387" s="34"/>
      <c r="B387" s="35"/>
      <c r="C387" s="28"/>
      <c r="D387" s="35"/>
      <c r="E387" s="25" t="s">
        <v>652</v>
      </c>
      <c r="F387" s="25" t="s">
        <v>626</v>
      </c>
      <c r="G387" s="25" t="s">
        <v>1074</v>
      </c>
      <c r="H387" s="25"/>
      <c r="I387" s="49"/>
    </row>
    <row r="388" spans="1:9" x14ac:dyDescent="0.3">
      <c r="A388" s="34"/>
      <c r="B388" s="35"/>
      <c r="C388" s="28"/>
      <c r="D388" s="35"/>
      <c r="E388" s="25" t="s">
        <v>630</v>
      </c>
      <c r="F388" s="25" t="s">
        <v>1075</v>
      </c>
      <c r="G388" s="25" t="s">
        <v>585</v>
      </c>
      <c r="H388" s="25">
        <v>100</v>
      </c>
      <c r="I388" s="49"/>
    </row>
    <row r="389" spans="1:9" x14ac:dyDescent="0.3">
      <c r="A389" s="34"/>
      <c r="B389" s="35"/>
      <c r="C389" s="28"/>
      <c r="D389" s="35"/>
      <c r="E389" s="25" t="s">
        <v>634</v>
      </c>
      <c r="F389" s="25" t="s">
        <v>1075</v>
      </c>
      <c r="G389" s="25" t="s">
        <v>440</v>
      </c>
      <c r="H389" s="25">
        <v>71</v>
      </c>
      <c r="I389" s="49">
        <v>34</v>
      </c>
    </row>
    <row r="390" spans="1:9" x14ac:dyDescent="0.3">
      <c r="A390" s="34"/>
      <c r="B390" s="35"/>
      <c r="C390" s="28"/>
      <c r="D390" s="35"/>
      <c r="E390" s="25" t="s">
        <v>637</v>
      </c>
      <c r="F390" s="25" t="s">
        <v>626</v>
      </c>
      <c r="G390" s="25" t="s">
        <v>1074</v>
      </c>
      <c r="H390" s="25"/>
      <c r="I390" s="49"/>
    </row>
    <row r="391" spans="1:9" x14ac:dyDescent="0.3">
      <c r="A391" s="34"/>
      <c r="B391" s="35"/>
      <c r="C391" s="28"/>
      <c r="D391" s="35"/>
      <c r="E391" s="25" t="s">
        <v>640</v>
      </c>
      <c r="F391" s="25" t="s">
        <v>626</v>
      </c>
      <c r="G391" s="25" t="s">
        <v>1074</v>
      </c>
      <c r="H391" s="25"/>
      <c r="I391" s="49"/>
    </row>
    <row r="392" spans="1:9" x14ac:dyDescent="0.3">
      <c r="A392" s="34"/>
      <c r="B392" s="35"/>
      <c r="C392" s="28"/>
      <c r="D392" s="35"/>
      <c r="E392" s="25" t="s">
        <v>642</v>
      </c>
      <c r="F392" s="25" t="s">
        <v>1075</v>
      </c>
      <c r="G392" s="25" t="s">
        <v>115</v>
      </c>
      <c r="H392" s="25">
        <v>18</v>
      </c>
      <c r="I392" s="49"/>
    </row>
    <row r="393" spans="1:9" x14ac:dyDescent="0.3">
      <c r="A393" s="34"/>
      <c r="B393" s="35"/>
      <c r="C393" s="28"/>
      <c r="D393" s="35"/>
      <c r="E393" s="25" t="s">
        <v>645</v>
      </c>
      <c r="F393" s="25" t="s">
        <v>1075</v>
      </c>
      <c r="G393" s="25" t="s">
        <v>145</v>
      </c>
      <c r="H393" s="25">
        <v>22</v>
      </c>
      <c r="I393" s="49">
        <v>11</v>
      </c>
    </row>
    <row r="394" spans="1:9" x14ac:dyDescent="0.3">
      <c r="A394" s="34"/>
      <c r="B394" s="35"/>
      <c r="C394" s="28"/>
      <c r="D394" s="35"/>
      <c r="E394" s="25" t="s">
        <v>711</v>
      </c>
      <c r="F394" s="25" t="s">
        <v>1075</v>
      </c>
      <c r="G394" s="25" t="s">
        <v>576</v>
      </c>
      <c r="H394" s="25">
        <v>98</v>
      </c>
      <c r="I394" s="49">
        <v>48</v>
      </c>
    </row>
    <row r="395" spans="1:9" x14ac:dyDescent="0.3">
      <c r="A395" s="34"/>
      <c r="B395" s="35"/>
      <c r="C395" s="28"/>
      <c r="D395" s="35"/>
      <c r="E395" s="25" t="s">
        <v>1024</v>
      </c>
      <c r="F395" s="25" t="s">
        <v>626</v>
      </c>
      <c r="G395" s="25" t="s">
        <v>1074</v>
      </c>
      <c r="H395" s="25"/>
      <c r="I395" s="49"/>
    </row>
    <row r="396" spans="1:9" ht="15" thickBot="1" x14ac:dyDescent="0.35">
      <c r="A396" s="38"/>
      <c r="B396" s="40"/>
      <c r="C396" s="50"/>
      <c r="D396" s="40"/>
      <c r="E396" s="39" t="s">
        <v>996</v>
      </c>
      <c r="F396" s="25" t="s">
        <v>626</v>
      </c>
      <c r="G396" s="25" t="s">
        <v>1074</v>
      </c>
      <c r="H396" s="39"/>
      <c r="I396" s="51"/>
    </row>
    <row r="397" spans="1:9" x14ac:dyDescent="0.3">
      <c r="A397" s="30" t="s">
        <v>638</v>
      </c>
      <c r="B397" s="31" t="s">
        <v>128</v>
      </c>
      <c r="C397" s="47" t="s">
        <v>621</v>
      </c>
      <c r="D397" s="31" t="s">
        <v>767</v>
      </c>
      <c r="E397" s="32" t="s">
        <v>620</v>
      </c>
      <c r="F397" s="32" t="s">
        <v>626</v>
      </c>
      <c r="G397" s="32" t="s">
        <v>1074</v>
      </c>
      <c r="H397" s="32"/>
      <c r="I397" s="48"/>
    </row>
    <row r="398" spans="1:9" x14ac:dyDescent="0.3">
      <c r="A398" s="34"/>
      <c r="B398" s="35"/>
      <c r="C398" s="28"/>
      <c r="D398" s="35"/>
      <c r="E398" s="25" t="s">
        <v>652</v>
      </c>
      <c r="F398" s="25" t="s">
        <v>626</v>
      </c>
      <c r="G398" s="25" t="s">
        <v>1074</v>
      </c>
      <c r="H398" s="25"/>
      <c r="I398" s="49"/>
    </row>
    <row r="399" spans="1:9" x14ac:dyDescent="0.3">
      <c r="A399" s="34"/>
      <c r="B399" s="35"/>
      <c r="C399" s="28"/>
      <c r="D399" s="35"/>
      <c r="E399" s="25" t="s">
        <v>630</v>
      </c>
      <c r="F399" s="25" t="s">
        <v>1075</v>
      </c>
      <c r="G399" s="25" t="s">
        <v>581</v>
      </c>
      <c r="H399" s="25">
        <v>99</v>
      </c>
      <c r="I399" s="49"/>
    </row>
    <row r="400" spans="1:9" x14ac:dyDescent="0.3">
      <c r="A400" s="34"/>
      <c r="B400" s="35"/>
      <c r="C400" s="28"/>
      <c r="D400" s="35"/>
      <c r="E400" s="25" t="s">
        <v>634</v>
      </c>
      <c r="F400" s="25" t="s">
        <v>1075</v>
      </c>
      <c r="G400" s="25" t="s">
        <v>433</v>
      </c>
      <c r="H400" s="25">
        <v>70</v>
      </c>
      <c r="I400" s="49">
        <v>33</v>
      </c>
    </row>
    <row r="401" spans="1:9" x14ac:dyDescent="0.3">
      <c r="A401" s="34"/>
      <c r="B401" s="35"/>
      <c r="C401" s="28"/>
      <c r="D401" s="35"/>
      <c r="E401" s="25" t="s">
        <v>637</v>
      </c>
      <c r="F401" s="25" t="s">
        <v>626</v>
      </c>
      <c r="G401" s="25" t="s">
        <v>1074</v>
      </c>
      <c r="H401" s="25"/>
      <c r="I401" s="49"/>
    </row>
    <row r="402" spans="1:9" x14ac:dyDescent="0.3">
      <c r="A402" s="34"/>
      <c r="B402" s="35"/>
      <c r="C402" s="28"/>
      <c r="D402" s="35"/>
      <c r="E402" s="25" t="s">
        <v>640</v>
      </c>
      <c r="F402" s="25" t="s">
        <v>626</v>
      </c>
      <c r="G402" s="25" t="s">
        <v>1074</v>
      </c>
      <c r="H402" s="25"/>
      <c r="I402" s="49"/>
    </row>
    <row r="403" spans="1:9" x14ac:dyDescent="0.3">
      <c r="A403" s="34"/>
      <c r="B403" s="35"/>
      <c r="C403" s="28"/>
      <c r="D403" s="35"/>
      <c r="E403" s="25" t="s">
        <v>642</v>
      </c>
      <c r="F403" s="25" t="s">
        <v>626</v>
      </c>
      <c r="G403" s="25" t="s">
        <v>1074</v>
      </c>
      <c r="H403" s="25"/>
      <c r="I403" s="49"/>
    </row>
    <row r="404" spans="1:9" x14ac:dyDescent="0.3">
      <c r="A404" s="34"/>
      <c r="B404" s="35"/>
      <c r="C404" s="28"/>
      <c r="D404" s="35"/>
      <c r="E404" s="25" t="s">
        <v>645</v>
      </c>
      <c r="F404" s="25" t="s">
        <v>1075</v>
      </c>
      <c r="G404" s="25" t="s">
        <v>171</v>
      </c>
      <c r="H404" s="25">
        <v>25</v>
      </c>
      <c r="I404" s="49"/>
    </row>
    <row r="405" spans="1:9" x14ac:dyDescent="0.3">
      <c r="A405" s="34"/>
      <c r="B405" s="35"/>
      <c r="C405" s="28"/>
      <c r="D405" s="35"/>
      <c r="E405" s="25" t="s">
        <v>711</v>
      </c>
      <c r="F405" s="25" t="s">
        <v>626</v>
      </c>
      <c r="G405" s="25" t="s">
        <v>1074</v>
      </c>
      <c r="H405" s="25"/>
      <c r="I405" s="49"/>
    </row>
    <row r="406" spans="1:9" ht="15" thickBot="1" x14ac:dyDescent="0.35">
      <c r="A406" s="38"/>
      <c r="B406" s="40"/>
      <c r="C406" s="50"/>
      <c r="D406" s="40"/>
      <c r="E406" s="39" t="s">
        <v>1024</v>
      </c>
      <c r="F406" s="39" t="s">
        <v>1075</v>
      </c>
      <c r="G406" s="39" t="s">
        <v>123</v>
      </c>
      <c r="H406" s="39">
        <v>19</v>
      </c>
      <c r="I406" s="51"/>
    </row>
    <row r="407" spans="1:9" x14ac:dyDescent="0.3">
      <c r="A407" s="30" t="s">
        <v>638</v>
      </c>
      <c r="B407" s="31" t="s">
        <v>127</v>
      </c>
      <c r="C407" s="47" t="s">
        <v>621</v>
      </c>
      <c r="D407" s="31" t="s">
        <v>806</v>
      </c>
      <c r="E407" s="32" t="s">
        <v>620</v>
      </c>
      <c r="F407" s="32" t="s">
        <v>626</v>
      </c>
      <c r="G407" s="32" t="s">
        <v>1074</v>
      </c>
      <c r="H407" s="32"/>
      <c r="I407" s="48"/>
    </row>
    <row r="408" spans="1:9" x14ac:dyDescent="0.3">
      <c r="A408" s="34"/>
      <c r="B408" s="35"/>
      <c r="C408" s="28"/>
      <c r="D408" s="35"/>
      <c r="E408" s="25" t="s">
        <v>652</v>
      </c>
      <c r="F408" s="25" t="s">
        <v>1075</v>
      </c>
      <c r="G408" s="25" t="s">
        <v>123</v>
      </c>
      <c r="H408" s="25">
        <v>19</v>
      </c>
      <c r="I408" s="49"/>
    </row>
    <row r="409" spans="1:9" x14ac:dyDescent="0.3">
      <c r="A409" s="34"/>
      <c r="B409" s="35"/>
      <c r="C409" s="28"/>
      <c r="D409" s="35"/>
      <c r="E409" s="25" t="s">
        <v>630</v>
      </c>
      <c r="F409" s="25" t="s">
        <v>626</v>
      </c>
      <c r="G409" s="25" t="s">
        <v>1074</v>
      </c>
      <c r="H409" s="25"/>
      <c r="I409" s="49"/>
    </row>
    <row r="410" spans="1:9" x14ac:dyDescent="0.3">
      <c r="A410" s="34"/>
      <c r="B410" s="35"/>
      <c r="C410" s="28"/>
      <c r="D410" s="35"/>
      <c r="E410" s="25" t="s">
        <v>634</v>
      </c>
      <c r="F410" s="25" t="s">
        <v>1075</v>
      </c>
      <c r="G410" s="25" t="s">
        <v>417</v>
      </c>
      <c r="H410" s="25">
        <v>67</v>
      </c>
      <c r="I410" s="49">
        <v>32</v>
      </c>
    </row>
    <row r="411" spans="1:9" x14ac:dyDescent="0.3">
      <c r="A411" s="34"/>
      <c r="B411" s="35"/>
      <c r="C411" s="28"/>
      <c r="D411" s="35"/>
      <c r="E411" s="25" t="s">
        <v>637</v>
      </c>
      <c r="F411" s="25" t="s">
        <v>1075</v>
      </c>
      <c r="G411" s="25" t="s">
        <v>534</v>
      </c>
      <c r="H411" s="25">
        <v>89</v>
      </c>
      <c r="I411" s="49">
        <v>41</v>
      </c>
    </row>
    <row r="412" spans="1:9" x14ac:dyDescent="0.3">
      <c r="A412" s="34"/>
      <c r="B412" s="35"/>
      <c r="C412" s="28"/>
      <c r="D412" s="35"/>
      <c r="E412" s="25" t="s">
        <v>640</v>
      </c>
      <c r="F412" s="25" t="s">
        <v>1075</v>
      </c>
      <c r="G412" s="25" t="s">
        <v>178</v>
      </c>
      <c r="H412" s="25">
        <v>26</v>
      </c>
      <c r="I412" s="49">
        <v>13</v>
      </c>
    </row>
    <row r="413" spans="1:9" ht="15" thickBot="1" x14ac:dyDescent="0.35">
      <c r="A413" s="38"/>
      <c r="B413" s="40"/>
      <c r="C413" s="50"/>
      <c r="D413" s="40"/>
      <c r="E413" s="39" t="s">
        <v>642</v>
      </c>
      <c r="F413" s="25" t="s">
        <v>626</v>
      </c>
      <c r="G413" s="25" t="s">
        <v>1074</v>
      </c>
      <c r="H413" s="39"/>
      <c r="I413" s="51"/>
    </row>
    <row r="414" spans="1:9" x14ac:dyDescent="0.3">
      <c r="A414" s="30" t="s">
        <v>638</v>
      </c>
      <c r="B414" s="31" t="s">
        <v>135</v>
      </c>
      <c r="C414" s="47" t="s">
        <v>621</v>
      </c>
      <c r="D414" s="31" t="s">
        <v>746</v>
      </c>
      <c r="E414" s="32" t="s">
        <v>620</v>
      </c>
      <c r="F414" s="32" t="s">
        <v>626</v>
      </c>
      <c r="G414" s="32" t="s">
        <v>1074</v>
      </c>
      <c r="H414" s="32"/>
      <c r="I414" s="48"/>
    </row>
    <row r="415" spans="1:9" x14ac:dyDescent="0.3">
      <c r="A415" s="34"/>
      <c r="B415" s="35"/>
      <c r="C415" s="28"/>
      <c r="D415" s="35"/>
      <c r="E415" s="25" t="s">
        <v>652</v>
      </c>
      <c r="F415" s="25" t="s">
        <v>1075</v>
      </c>
      <c r="G415" s="25" t="s">
        <v>131</v>
      </c>
      <c r="H415" s="25">
        <v>20</v>
      </c>
      <c r="I415" s="49"/>
    </row>
    <row r="416" spans="1:9" x14ac:dyDescent="0.3">
      <c r="A416" s="34"/>
      <c r="B416" s="35"/>
      <c r="C416" s="28"/>
      <c r="D416" s="35"/>
      <c r="E416" s="25" t="s">
        <v>630</v>
      </c>
      <c r="F416" s="25" t="s">
        <v>626</v>
      </c>
      <c r="G416" s="25" t="s">
        <v>1074</v>
      </c>
      <c r="H416" s="25"/>
      <c r="I416" s="49"/>
    </row>
    <row r="417" spans="1:9" x14ac:dyDescent="0.3">
      <c r="A417" s="34"/>
      <c r="B417" s="35"/>
      <c r="C417" s="28"/>
      <c r="D417" s="35"/>
      <c r="E417" s="25" t="s">
        <v>634</v>
      </c>
      <c r="F417" s="25" t="s">
        <v>1075</v>
      </c>
      <c r="G417" s="25" t="s">
        <v>380</v>
      </c>
      <c r="H417" s="25">
        <v>57</v>
      </c>
      <c r="I417" s="49">
        <v>29</v>
      </c>
    </row>
    <row r="418" spans="1:9" x14ac:dyDescent="0.3">
      <c r="A418" s="34"/>
      <c r="B418" s="35"/>
      <c r="C418" s="28"/>
      <c r="D418" s="35"/>
      <c r="E418" s="25" t="s">
        <v>637</v>
      </c>
      <c r="F418" s="25" t="s">
        <v>1075</v>
      </c>
      <c r="G418" s="25" t="s">
        <v>539</v>
      </c>
      <c r="H418" s="25">
        <v>90</v>
      </c>
      <c r="I418" s="49">
        <v>42</v>
      </c>
    </row>
    <row r="419" spans="1:9" ht="15" thickBot="1" x14ac:dyDescent="0.35">
      <c r="A419" s="38"/>
      <c r="B419" s="40"/>
      <c r="C419" s="50"/>
      <c r="D419" s="40"/>
      <c r="E419" s="39" t="s">
        <v>640</v>
      </c>
      <c r="F419" s="25" t="s">
        <v>626</v>
      </c>
      <c r="G419" s="25" t="s">
        <v>1074</v>
      </c>
      <c r="H419" s="39"/>
      <c r="I419" s="51"/>
    </row>
    <row r="420" spans="1:9" x14ac:dyDescent="0.3">
      <c r="A420" s="30" t="s">
        <v>840</v>
      </c>
      <c r="B420" s="31" t="s">
        <v>356</v>
      </c>
      <c r="C420" s="47" t="s">
        <v>621</v>
      </c>
      <c r="D420" s="31" t="s">
        <v>856</v>
      </c>
      <c r="E420" s="32" t="s">
        <v>620</v>
      </c>
      <c r="F420" s="32" t="s">
        <v>626</v>
      </c>
      <c r="G420" s="32" t="s">
        <v>1105</v>
      </c>
      <c r="H420" s="32"/>
      <c r="I420" s="48"/>
    </row>
    <row r="421" spans="1:9" x14ac:dyDescent="0.3">
      <c r="A421" s="34"/>
      <c r="B421" s="35"/>
      <c r="C421" s="28"/>
      <c r="D421" s="35"/>
      <c r="E421" s="25" t="s">
        <v>652</v>
      </c>
      <c r="F421" s="25" t="s">
        <v>1075</v>
      </c>
      <c r="G421" s="25" t="s">
        <v>351</v>
      </c>
      <c r="H421" s="25">
        <v>53</v>
      </c>
      <c r="I421" s="49">
        <v>25</v>
      </c>
    </row>
    <row r="422" spans="1:9" x14ac:dyDescent="0.3">
      <c r="A422" s="34"/>
      <c r="B422" s="35"/>
      <c r="C422" s="28"/>
      <c r="D422" s="35"/>
      <c r="E422" s="25" t="s">
        <v>630</v>
      </c>
      <c r="F422" s="25" t="s">
        <v>626</v>
      </c>
      <c r="G422" s="25" t="s">
        <v>1105</v>
      </c>
      <c r="H422" s="25"/>
      <c r="I422" s="49"/>
    </row>
    <row r="423" spans="1:9" x14ac:dyDescent="0.3">
      <c r="A423" s="34"/>
      <c r="B423" s="35"/>
      <c r="C423" s="28"/>
      <c r="D423" s="35"/>
      <c r="E423" s="25" t="s">
        <v>634</v>
      </c>
      <c r="F423" s="25" t="s">
        <v>626</v>
      </c>
      <c r="G423" s="25" t="s">
        <v>1105</v>
      </c>
      <c r="H423" s="25"/>
      <c r="I423" s="49"/>
    </row>
    <row r="424" spans="1:9" ht="15" thickBot="1" x14ac:dyDescent="0.35">
      <c r="A424" s="38"/>
      <c r="B424" s="40"/>
      <c r="C424" s="50"/>
      <c r="D424" s="40"/>
      <c r="E424" s="39" t="s">
        <v>637</v>
      </c>
      <c r="F424" s="39" t="s">
        <v>626</v>
      </c>
      <c r="G424" s="39" t="s">
        <v>1105</v>
      </c>
      <c r="H424" s="39"/>
      <c r="I424" s="51"/>
    </row>
    <row r="425" spans="1:9" x14ac:dyDescent="0.3">
      <c r="A425" s="30" t="s">
        <v>709</v>
      </c>
      <c r="B425" s="31" t="s">
        <v>569</v>
      </c>
      <c r="C425" s="47" t="s">
        <v>621</v>
      </c>
      <c r="D425" s="31" t="s">
        <v>944</v>
      </c>
      <c r="E425" s="32" t="s">
        <v>620</v>
      </c>
      <c r="F425" s="32" t="s">
        <v>1075</v>
      </c>
      <c r="G425" s="32" t="s">
        <v>567</v>
      </c>
      <c r="H425" s="32">
        <v>96</v>
      </c>
      <c r="I425" s="48">
        <v>46</v>
      </c>
    </row>
    <row r="426" spans="1:9" ht="15" thickBot="1" x14ac:dyDescent="0.35">
      <c r="A426" s="38"/>
      <c r="B426" s="40"/>
      <c r="C426" s="50"/>
      <c r="D426" s="40"/>
      <c r="E426" s="39" t="s">
        <v>652</v>
      </c>
      <c r="F426" s="39" t="s">
        <v>626</v>
      </c>
      <c r="G426" s="39" t="s">
        <v>1074</v>
      </c>
      <c r="H426" s="39"/>
      <c r="I426" s="51"/>
    </row>
    <row r="427" spans="1:9" x14ac:dyDescent="0.3">
      <c r="A427" s="30" t="s">
        <v>709</v>
      </c>
      <c r="B427" s="31" t="s">
        <v>565</v>
      </c>
      <c r="C427" s="47" t="s">
        <v>621</v>
      </c>
      <c r="D427" s="31" t="s">
        <v>950</v>
      </c>
      <c r="E427" s="32" t="s">
        <v>620</v>
      </c>
      <c r="F427" s="32" t="s">
        <v>1075</v>
      </c>
      <c r="G427" s="32" t="s">
        <v>561</v>
      </c>
      <c r="H427" s="32">
        <v>95</v>
      </c>
      <c r="I427" s="48">
        <v>45</v>
      </c>
    </row>
    <row r="428" spans="1:9" ht="15" thickBot="1" x14ac:dyDescent="0.35">
      <c r="A428" s="38"/>
      <c r="B428" s="40"/>
      <c r="C428" s="50"/>
      <c r="D428" s="40"/>
      <c r="E428" s="39" t="s">
        <v>652</v>
      </c>
      <c r="F428" s="39" t="s">
        <v>626</v>
      </c>
      <c r="G428" s="39" t="s">
        <v>1074</v>
      </c>
      <c r="H428" s="39"/>
      <c r="I428" s="51"/>
    </row>
    <row r="429" spans="1:9" x14ac:dyDescent="0.3">
      <c r="A429" s="30" t="s">
        <v>709</v>
      </c>
      <c r="B429" s="31" t="s">
        <v>577</v>
      </c>
      <c r="C429" s="47" t="s">
        <v>621</v>
      </c>
      <c r="D429" s="31" t="s">
        <v>716</v>
      </c>
      <c r="E429" s="32" t="s">
        <v>620</v>
      </c>
      <c r="F429" s="32" t="s">
        <v>1075</v>
      </c>
      <c r="G429" s="32" t="s">
        <v>576</v>
      </c>
      <c r="H429" s="32">
        <v>98</v>
      </c>
      <c r="I429" s="48">
        <v>48</v>
      </c>
    </row>
    <row r="430" spans="1:9" ht="15" thickBot="1" x14ac:dyDescent="0.35">
      <c r="A430" s="38"/>
      <c r="B430" s="40"/>
      <c r="C430" s="50"/>
      <c r="D430" s="40"/>
      <c r="E430" s="39" t="s">
        <v>652</v>
      </c>
      <c r="F430" s="39" t="s">
        <v>626</v>
      </c>
      <c r="G430" s="39" t="s">
        <v>1074</v>
      </c>
      <c r="H430" s="39"/>
      <c r="I430" s="51"/>
    </row>
    <row r="431" spans="1:9" x14ac:dyDescent="0.3">
      <c r="A431" s="30" t="s">
        <v>837</v>
      </c>
      <c r="B431" s="31" t="s">
        <v>463</v>
      </c>
      <c r="C431" s="47" t="s">
        <v>621</v>
      </c>
      <c r="D431" s="31" t="s">
        <v>899</v>
      </c>
      <c r="E431" s="32" t="s">
        <v>620</v>
      </c>
      <c r="F431" s="32" t="s">
        <v>626</v>
      </c>
      <c r="G431" s="32" t="s">
        <v>1074</v>
      </c>
      <c r="H431" s="32"/>
      <c r="I431" s="48"/>
    </row>
    <row r="432" spans="1:9" x14ac:dyDescent="0.3">
      <c r="A432" s="34"/>
      <c r="B432" s="35"/>
      <c r="C432" s="28"/>
      <c r="D432" s="35"/>
      <c r="E432" s="25" t="s">
        <v>652</v>
      </c>
      <c r="F432" s="25" t="s">
        <v>1075</v>
      </c>
      <c r="G432" s="25" t="s">
        <v>458</v>
      </c>
      <c r="H432" s="25">
        <v>74</v>
      </c>
      <c r="I432" s="49"/>
    </row>
    <row r="433" spans="1:9" ht="15" thickBot="1" x14ac:dyDescent="0.35">
      <c r="A433" s="38"/>
      <c r="B433" s="40"/>
      <c r="C433" s="50"/>
      <c r="D433" s="40"/>
      <c r="E433" s="39" t="s">
        <v>630</v>
      </c>
      <c r="F433" s="39" t="s">
        <v>1075</v>
      </c>
      <c r="G433" s="39" t="s">
        <v>499</v>
      </c>
      <c r="H433" s="39">
        <v>80</v>
      </c>
      <c r="I433" s="51">
        <v>39</v>
      </c>
    </row>
    <row r="434" spans="1:9" x14ac:dyDescent="0.3">
      <c r="A434" s="30" t="s">
        <v>837</v>
      </c>
      <c r="B434" s="31" t="s">
        <v>166</v>
      </c>
      <c r="C434" s="47" t="s">
        <v>621</v>
      </c>
      <c r="D434" s="31" t="s">
        <v>967</v>
      </c>
      <c r="E434" s="32" t="s">
        <v>620</v>
      </c>
      <c r="F434" s="32" t="s">
        <v>626</v>
      </c>
      <c r="G434" s="32" t="s">
        <v>1074</v>
      </c>
      <c r="H434" s="32"/>
      <c r="I434" s="48"/>
    </row>
    <row r="435" spans="1:9" x14ac:dyDescent="0.3">
      <c r="A435" s="34"/>
      <c r="B435" s="35"/>
      <c r="C435" s="28"/>
      <c r="D435" s="35"/>
      <c r="E435" s="25" t="s">
        <v>652</v>
      </c>
      <c r="F435" s="25" t="s">
        <v>1075</v>
      </c>
      <c r="G435" s="25" t="s">
        <v>374</v>
      </c>
      <c r="H435" s="25">
        <v>56</v>
      </c>
      <c r="I435" s="49">
        <v>28</v>
      </c>
    </row>
    <row r="436" spans="1:9" x14ac:dyDescent="0.3">
      <c r="A436" s="34"/>
      <c r="B436" s="35"/>
      <c r="C436" s="28"/>
      <c r="D436" s="35"/>
      <c r="E436" s="25" t="s">
        <v>630</v>
      </c>
      <c r="F436" s="25" t="s">
        <v>1075</v>
      </c>
      <c r="G436" s="25" t="s">
        <v>163</v>
      </c>
      <c r="H436" s="25">
        <v>24</v>
      </c>
      <c r="I436" s="49"/>
    </row>
    <row r="437" spans="1:9" ht="15" thickBot="1" x14ac:dyDescent="0.35">
      <c r="A437" s="38"/>
      <c r="B437" s="40"/>
      <c r="C437" s="50"/>
      <c r="D437" s="40"/>
      <c r="E437" s="39" t="s">
        <v>634</v>
      </c>
      <c r="F437" s="25" t="s">
        <v>626</v>
      </c>
      <c r="G437" s="25" t="s">
        <v>1074</v>
      </c>
      <c r="H437" s="39"/>
      <c r="I437" s="51"/>
    </row>
    <row r="438" spans="1:9" x14ac:dyDescent="0.3">
      <c r="A438" s="30" t="s">
        <v>837</v>
      </c>
      <c r="B438" s="31" t="s">
        <v>353</v>
      </c>
      <c r="C438" s="47" t="s">
        <v>621</v>
      </c>
      <c r="D438" s="31" t="s">
        <v>854</v>
      </c>
      <c r="E438" s="32" t="s">
        <v>620</v>
      </c>
      <c r="F438" s="32" t="s">
        <v>626</v>
      </c>
      <c r="G438" s="32" t="s">
        <v>1074</v>
      </c>
      <c r="H438" s="32"/>
      <c r="I438" s="48"/>
    </row>
    <row r="439" spans="1:9" ht="15" thickBot="1" x14ac:dyDescent="0.35">
      <c r="A439" s="38"/>
      <c r="B439" s="40"/>
      <c r="C439" s="50"/>
      <c r="D439" s="40"/>
      <c r="E439" s="39" t="s">
        <v>652</v>
      </c>
      <c r="F439" s="39" t="s">
        <v>1075</v>
      </c>
      <c r="G439" s="39" t="s">
        <v>351</v>
      </c>
      <c r="H439" s="39">
        <v>53</v>
      </c>
      <c r="I439" s="51">
        <v>25</v>
      </c>
    </row>
    <row r="440" spans="1:9" x14ac:dyDescent="0.3">
      <c r="A440" s="30" t="s">
        <v>837</v>
      </c>
      <c r="B440" s="31" t="s">
        <v>173</v>
      </c>
      <c r="C440" s="47" t="s">
        <v>621</v>
      </c>
      <c r="D440" s="31" t="s">
        <v>973</v>
      </c>
      <c r="E440" s="32" t="s">
        <v>620</v>
      </c>
      <c r="F440" s="32" t="s">
        <v>626</v>
      </c>
      <c r="G440" s="32" t="s">
        <v>1074</v>
      </c>
      <c r="H440" s="32"/>
      <c r="I440" s="48"/>
    </row>
    <row r="441" spans="1:9" x14ac:dyDescent="0.3">
      <c r="A441" s="34"/>
      <c r="B441" s="35"/>
      <c r="C441" s="28"/>
      <c r="D441" s="35"/>
      <c r="E441" s="25" t="s">
        <v>652</v>
      </c>
      <c r="F441" s="25" t="s">
        <v>1075</v>
      </c>
      <c r="G441" s="25" t="s">
        <v>366</v>
      </c>
      <c r="H441" s="25">
        <v>55</v>
      </c>
      <c r="I441" s="49">
        <v>27</v>
      </c>
    </row>
    <row r="442" spans="1:9" x14ac:dyDescent="0.3">
      <c r="A442" s="34"/>
      <c r="B442" s="35"/>
      <c r="C442" s="28"/>
      <c r="D442" s="35"/>
      <c r="E442" s="25" t="s">
        <v>630</v>
      </c>
      <c r="F442" s="25" t="s">
        <v>1075</v>
      </c>
      <c r="G442" s="25" t="s">
        <v>171</v>
      </c>
      <c r="H442" s="25">
        <v>25</v>
      </c>
      <c r="I442" s="49"/>
    </row>
    <row r="443" spans="1:9" ht="15" thickBot="1" x14ac:dyDescent="0.35">
      <c r="A443" s="38"/>
      <c r="B443" s="40"/>
      <c r="C443" s="50"/>
      <c r="D443" s="40"/>
      <c r="E443" s="39" t="s">
        <v>634</v>
      </c>
      <c r="F443" s="25" t="s">
        <v>626</v>
      </c>
      <c r="G443" s="25" t="s">
        <v>1074</v>
      </c>
      <c r="H443" s="39"/>
      <c r="I443" s="51"/>
    </row>
    <row r="444" spans="1:9" x14ac:dyDescent="0.3">
      <c r="A444" s="30" t="s">
        <v>837</v>
      </c>
      <c r="B444" s="31" t="s">
        <v>360</v>
      </c>
      <c r="C444" s="47" t="s">
        <v>621</v>
      </c>
      <c r="D444" s="31" t="s">
        <v>846</v>
      </c>
      <c r="E444" s="32" t="s">
        <v>620</v>
      </c>
      <c r="F444" s="32" t="s">
        <v>626</v>
      </c>
      <c r="G444" s="32" t="s">
        <v>1074</v>
      </c>
      <c r="H444" s="32"/>
      <c r="I444" s="48"/>
    </row>
    <row r="445" spans="1:9" ht="15" thickBot="1" x14ac:dyDescent="0.35">
      <c r="A445" s="38"/>
      <c r="B445" s="40"/>
      <c r="C445" s="50"/>
      <c r="D445" s="40"/>
      <c r="E445" s="39" t="s">
        <v>652</v>
      </c>
      <c r="F445" s="39" t="s">
        <v>1075</v>
      </c>
      <c r="G445" s="39" t="s">
        <v>358</v>
      </c>
      <c r="H445" s="39">
        <v>54</v>
      </c>
      <c r="I445" s="51">
        <v>26</v>
      </c>
    </row>
    <row r="446" spans="1:9" x14ac:dyDescent="0.3">
      <c r="A446" s="30" t="s">
        <v>712</v>
      </c>
      <c r="B446" s="31" t="s">
        <v>238</v>
      </c>
      <c r="C446" s="47" t="s">
        <v>621</v>
      </c>
      <c r="D446" s="31" t="s">
        <v>952</v>
      </c>
      <c r="E446" s="32" t="s">
        <v>620</v>
      </c>
      <c r="F446" s="32" t="s">
        <v>626</v>
      </c>
      <c r="G446" s="32" t="s">
        <v>1074</v>
      </c>
      <c r="H446" s="32"/>
      <c r="I446" s="48"/>
    </row>
    <row r="447" spans="1:9" x14ac:dyDescent="0.3">
      <c r="A447" s="34"/>
      <c r="B447" s="35"/>
      <c r="C447" s="28"/>
      <c r="D447" s="35"/>
      <c r="E447" s="25" t="s">
        <v>652</v>
      </c>
      <c r="F447" s="25" t="s">
        <v>1075</v>
      </c>
      <c r="G447" s="25" t="s">
        <v>235</v>
      </c>
      <c r="H447" s="25">
        <v>34</v>
      </c>
      <c r="I447" s="49"/>
    </row>
    <row r="448" spans="1:9" ht="15" thickBot="1" x14ac:dyDescent="0.35">
      <c r="A448" s="38"/>
      <c r="B448" s="40"/>
      <c r="C448" s="50"/>
      <c r="D448" s="40"/>
      <c r="E448" s="39" t="s">
        <v>630</v>
      </c>
      <c r="F448" s="39" t="s">
        <v>1075</v>
      </c>
      <c r="G448" s="39" t="s">
        <v>561</v>
      </c>
      <c r="H448" s="39">
        <v>95</v>
      </c>
      <c r="I448" s="51">
        <v>45</v>
      </c>
    </row>
    <row r="449" spans="1:9" x14ac:dyDescent="0.3">
      <c r="A449" s="30" t="s">
        <v>712</v>
      </c>
      <c r="B449" s="31" t="s">
        <v>260</v>
      </c>
      <c r="C449" s="47" t="s">
        <v>621</v>
      </c>
      <c r="D449" s="31" t="s">
        <v>946</v>
      </c>
      <c r="E449" s="32" t="s">
        <v>620</v>
      </c>
      <c r="F449" s="32" t="s">
        <v>626</v>
      </c>
      <c r="G449" s="32" t="s">
        <v>1074</v>
      </c>
      <c r="H449" s="32"/>
      <c r="I449" s="48"/>
    </row>
    <row r="450" spans="1:9" x14ac:dyDescent="0.3">
      <c r="A450" s="34"/>
      <c r="B450" s="35"/>
      <c r="C450" s="28"/>
      <c r="D450" s="35"/>
      <c r="E450" s="25" t="s">
        <v>652</v>
      </c>
      <c r="F450" s="25" t="s">
        <v>1075</v>
      </c>
      <c r="G450" s="25" t="s">
        <v>499</v>
      </c>
      <c r="H450" s="25">
        <v>80</v>
      </c>
      <c r="I450" s="49">
        <v>39</v>
      </c>
    </row>
    <row r="451" spans="1:9" x14ac:dyDescent="0.3">
      <c r="A451" s="34"/>
      <c r="B451" s="35"/>
      <c r="C451" s="28"/>
      <c r="D451" s="35"/>
      <c r="E451" s="25" t="s">
        <v>630</v>
      </c>
      <c r="F451" s="25" t="s">
        <v>1075</v>
      </c>
      <c r="G451" s="25" t="s">
        <v>258</v>
      </c>
      <c r="H451" s="25">
        <v>41</v>
      </c>
      <c r="I451" s="49"/>
    </row>
    <row r="452" spans="1:9" x14ac:dyDescent="0.3">
      <c r="A452" s="34"/>
      <c r="B452" s="35"/>
      <c r="C452" s="28"/>
      <c r="D452" s="35"/>
      <c r="E452" s="25" t="s">
        <v>634</v>
      </c>
      <c r="F452" s="25" t="s">
        <v>626</v>
      </c>
      <c r="G452" s="25" t="s">
        <v>1074</v>
      </c>
      <c r="H452" s="25"/>
      <c r="I452" s="49"/>
    </row>
    <row r="453" spans="1:9" x14ac:dyDescent="0.3">
      <c r="A453" s="34"/>
      <c r="B453" s="35"/>
      <c r="C453" s="28"/>
      <c r="D453" s="35"/>
      <c r="E453" s="25" t="s">
        <v>637</v>
      </c>
      <c r="F453" s="25" t="s">
        <v>626</v>
      </c>
      <c r="G453" s="25" t="s">
        <v>1074</v>
      </c>
      <c r="H453" s="25"/>
      <c r="I453" s="49"/>
    </row>
    <row r="454" spans="1:9" x14ac:dyDescent="0.3">
      <c r="A454" s="34"/>
      <c r="B454" s="35"/>
      <c r="C454" s="28"/>
      <c r="D454" s="35"/>
      <c r="E454" s="25" t="s">
        <v>640</v>
      </c>
      <c r="F454" s="25" t="s">
        <v>626</v>
      </c>
      <c r="G454" s="25" t="s">
        <v>1074</v>
      </c>
      <c r="H454" s="25"/>
      <c r="I454" s="49"/>
    </row>
    <row r="455" spans="1:9" x14ac:dyDescent="0.3">
      <c r="A455" s="34"/>
      <c r="B455" s="35"/>
      <c r="C455" s="28"/>
      <c r="D455" s="35"/>
      <c r="E455" s="25" t="s">
        <v>642</v>
      </c>
      <c r="F455" s="25" t="s">
        <v>1075</v>
      </c>
      <c r="G455" s="25" t="s">
        <v>282</v>
      </c>
      <c r="H455" s="25">
        <v>45</v>
      </c>
      <c r="I455" s="49">
        <v>21</v>
      </c>
    </row>
    <row r="456" spans="1:9" ht="15" thickBot="1" x14ac:dyDescent="0.35">
      <c r="A456" s="38"/>
      <c r="B456" s="40"/>
      <c r="C456" s="50"/>
      <c r="D456" s="40"/>
      <c r="E456" s="39" t="s">
        <v>645</v>
      </c>
      <c r="F456" s="39" t="s">
        <v>1075</v>
      </c>
      <c r="G456" s="39" t="s">
        <v>567</v>
      </c>
      <c r="H456" s="39">
        <v>96</v>
      </c>
      <c r="I456" s="51">
        <v>46</v>
      </c>
    </row>
    <row r="457" spans="1:9" x14ac:dyDescent="0.3">
      <c r="A457" s="30" t="s">
        <v>712</v>
      </c>
      <c r="B457" s="31" t="s">
        <v>272</v>
      </c>
      <c r="C457" s="47" t="s">
        <v>621</v>
      </c>
      <c r="D457" s="31" t="s">
        <v>997</v>
      </c>
      <c r="E457" s="32" t="s">
        <v>620</v>
      </c>
      <c r="F457" s="32" t="s">
        <v>626</v>
      </c>
      <c r="G457" s="32" t="s">
        <v>1074</v>
      </c>
      <c r="H457" s="32"/>
      <c r="I457" s="48"/>
    </row>
    <row r="458" spans="1:9" x14ac:dyDescent="0.3">
      <c r="A458" s="34"/>
      <c r="B458" s="35"/>
      <c r="C458" s="28"/>
      <c r="D458" s="35"/>
      <c r="E458" s="25" t="s">
        <v>652</v>
      </c>
      <c r="F458" s="25" t="s">
        <v>626</v>
      </c>
      <c r="G458" s="25" t="s">
        <v>1074</v>
      </c>
      <c r="H458" s="25"/>
      <c r="I458" s="49"/>
    </row>
    <row r="459" spans="1:9" ht="15" thickBot="1" x14ac:dyDescent="0.35">
      <c r="A459" s="38"/>
      <c r="B459" s="40"/>
      <c r="C459" s="50"/>
      <c r="D459" s="40"/>
      <c r="E459" s="39" t="s">
        <v>630</v>
      </c>
      <c r="F459" s="39" t="s">
        <v>1075</v>
      </c>
      <c r="G459" s="39" t="s">
        <v>269</v>
      </c>
      <c r="H459" s="39">
        <v>43</v>
      </c>
      <c r="I459" s="51"/>
    </row>
    <row r="460" spans="1:9" x14ac:dyDescent="0.3">
      <c r="A460" s="30" t="s">
        <v>712</v>
      </c>
      <c r="B460" s="31" t="s">
        <v>266</v>
      </c>
      <c r="C460" s="47" t="s">
        <v>621</v>
      </c>
      <c r="D460" s="31" t="s">
        <v>717</v>
      </c>
      <c r="E460" s="32" t="s">
        <v>620</v>
      </c>
      <c r="F460" s="32" t="s">
        <v>626</v>
      </c>
      <c r="G460" s="32" t="s">
        <v>1074</v>
      </c>
      <c r="H460" s="32"/>
      <c r="I460" s="48"/>
    </row>
    <row r="461" spans="1:9" x14ac:dyDescent="0.3">
      <c r="A461" s="34"/>
      <c r="B461" s="35"/>
      <c r="C461" s="28"/>
      <c r="D461" s="35"/>
      <c r="E461" s="25" t="s">
        <v>652</v>
      </c>
      <c r="F461" s="25" t="s">
        <v>1075</v>
      </c>
      <c r="G461" s="25" t="s">
        <v>264</v>
      </c>
      <c r="H461" s="25">
        <v>42</v>
      </c>
      <c r="I461" s="49"/>
    </row>
    <row r="462" spans="1:9" x14ac:dyDescent="0.3">
      <c r="A462" s="34"/>
      <c r="B462" s="35"/>
      <c r="C462" s="28"/>
      <c r="D462" s="35"/>
      <c r="E462" s="25" t="s">
        <v>630</v>
      </c>
      <c r="F462" s="25" t="s">
        <v>1075</v>
      </c>
      <c r="G462" s="25" t="s">
        <v>504</v>
      </c>
      <c r="H462" s="25">
        <v>81</v>
      </c>
      <c r="I462" s="49">
        <v>40</v>
      </c>
    </row>
    <row r="463" spans="1:9" x14ac:dyDescent="0.3">
      <c r="A463" s="34"/>
      <c r="B463" s="35"/>
      <c r="C463" s="28"/>
      <c r="D463" s="35"/>
      <c r="E463" s="25" t="s">
        <v>634</v>
      </c>
      <c r="F463" s="25" t="s">
        <v>626</v>
      </c>
      <c r="G463" s="25" t="s">
        <v>1074</v>
      </c>
      <c r="H463" s="25"/>
      <c r="I463" s="49"/>
    </row>
    <row r="464" spans="1:9" x14ac:dyDescent="0.3">
      <c r="A464" s="34"/>
      <c r="B464" s="35"/>
      <c r="C464" s="28"/>
      <c r="D464" s="35"/>
      <c r="E464" s="25" t="s">
        <v>637</v>
      </c>
      <c r="F464" s="25" t="s">
        <v>626</v>
      </c>
      <c r="G464" s="25" t="s">
        <v>1074</v>
      </c>
      <c r="H464" s="25"/>
      <c r="I464" s="49"/>
    </row>
    <row r="465" spans="1:9" x14ac:dyDescent="0.3">
      <c r="A465" s="34"/>
      <c r="B465" s="35"/>
      <c r="C465" s="28"/>
      <c r="D465" s="35"/>
      <c r="E465" s="25" t="s">
        <v>640</v>
      </c>
      <c r="F465" s="25" t="s">
        <v>1075</v>
      </c>
      <c r="G465" s="25" t="s">
        <v>275</v>
      </c>
      <c r="H465" s="25">
        <v>44</v>
      </c>
      <c r="I465" s="49">
        <v>20</v>
      </c>
    </row>
    <row r="466" spans="1:9" ht="15" thickBot="1" x14ac:dyDescent="0.35">
      <c r="A466" s="38"/>
      <c r="B466" s="40"/>
      <c r="C466" s="50"/>
      <c r="D466" s="40"/>
      <c r="E466" s="39" t="s">
        <v>642</v>
      </c>
      <c r="F466" s="39" t="s">
        <v>1075</v>
      </c>
      <c r="G466" s="39" t="s">
        <v>576</v>
      </c>
      <c r="H466" s="39">
        <v>98</v>
      </c>
      <c r="I466" s="51">
        <v>48</v>
      </c>
    </row>
    <row r="467" spans="1:9" x14ac:dyDescent="0.3">
      <c r="A467" s="30" t="s">
        <v>712</v>
      </c>
      <c r="B467" s="31" t="s">
        <v>278</v>
      </c>
      <c r="C467" s="47" t="s">
        <v>621</v>
      </c>
      <c r="D467" s="31" t="s">
        <v>993</v>
      </c>
      <c r="E467" s="32" t="s">
        <v>620</v>
      </c>
      <c r="F467" s="32" t="s">
        <v>626</v>
      </c>
      <c r="G467" s="32" t="s">
        <v>1074</v>
      </c>
      <c r="H467" s="32"/>
      <c r="I467" s="48"/>
    </row>
    <row r="468" spans="1:9" ht="15" thickBot="1" x14ac:dyDescent="0.35">
      <c r="A468" s="38"/>
      <c r="B468" s="40"/>
      <c r="C468" s="50"/>
      <c r="D468" s="40"/>
      <c r="E468" s="39" t="s">
        <v>652</v>
      </c>
      <c r="F468" s="39" t="s">
        <v>1075</v>
      </c>
      <c r="G468" s="39" t="s">
        <v>275</v>
      </c>
      <c r="H468" s="39">
        <v>44</v>
      </c>
      <c r="I468" s="51">
        <v>20</v>
      </c>
    </row>
    <row r="469" spans="1:9" x14ac:dyDescent="0.3">
      <c r="A469" s="30" t="s">
        <v>643</v>
      </c>
      <c r="B469" s="31" t="s">
        <v>190</v>
      </c>
      <c r="C469" s="47" t="s">
        <v>621</v>
      </c>
      <c r="D469" s="31" t="s">
        <v>847</v>
      </c>
      <c r="E469" s="32" t="s">
        <v>620</v>
      </c>
      <c r="F469" s="32" t="s">
        <v>626</v>
      </c>
      <c r="G469" s="32" t="s">
        <v>1074</v>
      </c>
      <c r="H469" s="32"/>
      <c r="I469" s="48"/>
    </row>
    <row r="470" spans="1:9" x14ac:dyDescent="0.3">
      <c r="A470" s="34"/>
      <c r="B470" s="35"/>
      <c r="C470" s="28"/>
      <c r="D470" s="35"/>
      <c r="E470" s="25" t="s">
        <v>652</v>
      </c>
      <c r="F470" s="25" t="s">
        <v>1075</v>
      </c>
      <c r="G470" s="25" t="s">
        <v>358</v>
      </c>
      <c r="H470" s="25">
        <v>54</v>
      </c>
      <c r="I470" s="49">
        <v>26</v>
      </c>
    </row>
    <row r="471" spans="1:9" x14ac:dyDescent="0.3">
      <c r="A471" s="34"/>
      <c r="B471" s="35"/>
      <c r="C471" s="28"/>
      <c r="D471" s="35"/>
      <c r="E471" s="25" t="s">
        <v>630</v>
      </c>
      <c r="F471" s="25" t="s">
        <v>1075</v>
      </c>
      <c r="G471" s="25" t="s">
        <v>186</v>
      </c>
      <c r="H471" s="25">
        <v>27</v>
      </c>
      <c r="I471" s="49">
        <v>14</v>
      </c>
    </row>
    <row r="472" spans="1:9" x14ac:dyDescent="0.3">
      <c r="A472" s="34"/>
      <c r="B472" s="35"/>
      <c r="C472" s="28"/>
      <c r="D472" s="35"/>
      <c r="E472" s="25" t="s">
        <v>634</v>
      </c>
      <c r="F472" s="25" t="s">
        <v>626</v>
      </c>
      <c r="G472" s="25" t="s">
        <v>1074</v>
      </c>
      <c r="H472" s="25"/>
      <c r="I472" s="49"/>
    </row>
    <row r="473" spans="1:9" x14ac:dyDescent="0.3">
      <c r="A473" s="34"/>
      <c r="B473" s="35"/>
      <c r="C473" s="28"/>
      <c r="D473" s="35"/>
      <c r="E473" s="25" t="s">
        <v>637</v>
      </c>
      <c r="F473" s="25" t="s">
        <v>626</v>
      </c>
      <c r="G473" s="25" t="s">
        <v>1074</v>
      </c>
      <c r="H473" s="25"/>
      <c r="I473" s="49"/>
    </row>
    <row r="474" spans="1:9" x14ac:dyDescent="0.3">
      <c r="A474" s="34"/>
      <c r="B474" s="35"/>
      <c r="C474" s="28"/>
      <c r="D474" s="35"/>
      <c r="E474" s="25" t="s">
        <v>640</v>
      </c>
      <c r="F474" s="25" t="s">
        <v>626</v>
      </c>
      <c r="G474" s="25" t="s">
        <v>1074</v>
      </c>
      <c r="H474" s="25"/>
      <c r="I474" s="49"/>
    </row>
    <row r="475" spans="1:9" x14ac:dyDescent="0.3">
      <c r="A475" s="34"/>
      <c r="B475" s="35"/>
      <c r="C475" s="28"/>
      <c r="D475" s="35"/>
      <c r="E475" s="25" t="s">
        <v>642</v>
      </c>
      <c r="F475" s="25" t="s">
        <v>1075</v>
      </c>
      <c r="G475" s="25" t="s">
        <v>499</v>
      </c>
      <c r="H475" s="25">
        <v>80</v>
      </c>
      <c r="I475" s="49">
        <v>39</v>
      </c>
    </row>
    <row r="476" spans="1:9" ht="15" thickBot="1" x14ac:dyDescent="0.35">
      <c r="A476" s="38"/>
      <c r="B476" s="40"/>
      <c r="C476" s="50"/>
      <c r="D476" s="40"/>
      <c r="E476" s="39" t="s">
        <v>645</v>
      </c>
      <c r="F476" s="39" t="s">
        <v>1075</v>
      </c>
      <c r="G476" s="39" t="s">
        <v>225</v>
      </c>
      <c r="H476" s="39">
        <v>32</v>
      </c>
      <c r="I476" s="51"/>
    </row>
    <row r="477" spans="1:9" x14ac:dyDescent="0.3">
      <c r="A477" s="30" t="s">
        <v>643</v>
      </c>
      <c r="B477" s="31" t="s">
        <v>189</v>
      </c>
      <c r="C477" s="47" t="s">
        <v>621</v>
      </c>
      <c r="D477" s="31" t="s">
        <v>747</v>
      </c>
      <c r="E477" s="32" t="s">
        <v>620</v>
      </c>
      <c r="F477" s="32" t="s">
        <v>626</v>
      </c>
      <c r="G477" s="32" t="s">
        <v>1074</v>
      </c>
      <c r="H477" s="32"/>
      <c r="I477" s="48"/>
    </row>
    <row r="478" spans="1:9" x14ac:dyDescent="0.3">
      <c r="A478" s="34"/>
      <c r="B478" s="35"/>
      <c r="C478" s="28"/>
      <c r="D478" s="35"/>
      <c r="E478" s="25" t="s">
        <v>652</v>
      </c>
      <c r="F478" s="25" t="s">
        <v>1075</v>
      </c>
      <c r="G478" s="25" t="s">
        <v>186</v>
      </c>
      <c r="H478" s="25">
        <v>27</v>
      </c>
      <c r="I478" s="49">
        <v>14</v>
      </c>
    </row>
    <row r="479" spans="1:9" x14ac:dyDescent="0.3">
      <c r="A479" s="34"/>
      <c r="B479" s="35"/>
      <c r="C479" s="28"/>
      <c r="D479" s="35"/>
      <c r="E479" s="25" t="s">
        <v>630</v>
      </c>
      <c r="F479" s="25" t="s">
        <v>626</v>
      </c>
      <c r="G479" s="25" t="s">
        <v>1074</v>
      </c>
      <c r="H479" s="25"/>
      <c r="I479" s="49"/>
    </row>
    <row r="480" spans="1:9" x14ac:dyDescent="0.3">
      <c r="A480" s="34"/>
      <c r="B480" s="35"/>
      <c r="C480" s="28"/>
      <c r="D480" s="35"/>
      <c r="E480" s="25" t="s">
        <v>634</v>
      </c>
      <c r="F480" s="25" t="s">
        <v>1075</v>
      </c>
      <c r="G480" s="25" t="s">
        <v>380</v>
      </c>
      <c r="H480" s="25">
        <v>57</v>
      </c>
      <c r="I480" s="49">
        <v>29</v>
      </c>
    </row>
    <row r="481" spans="1:9" x14ac:dyDescent="0.3">
      <c r="A481" s="34"/>
      <c r="B481" s="35"/>
      <c r="C481" s="28"/>
      <c r="D481" s="35"/>
      <c r="E481" s="25" t="s">
        <v>637</v>
      </c>
      <c r="F481" s="25" t="s">
        <v>1075</v>
      </c>
      <c r="G481" s="25" t="s">
        <v>504</v>
      </c>
      <c r="H481" s="25">
        <v>81</v>
      </c>
      <c r="I481" s="49">
        <v>40</v>
      </c>
    </row>
    <row r="482" spans="1:9" ht="15" thickBot="1" x14ac:dyDescent="0.35">
      <c r="A482" s="38"/>
      <c r="B482" s="40"/>
      <c r="C482" s="50"/>
      <c r="D482" s="40"/>
      <c r="E482" s="39" t="s">
        <v>640</v>
      </c>
      <c r="F482" s="39" t="s">
        <v>1075</v>
      </c>
      <c r="G482" s="39" t="s">
        <v>231</v>
      </c>
      <c r="H482" s="39">
        <v>33</v>
      </c>
      <c r="I482" s="51">
        <v>18</v>
      </c>
    </row>
    <row r="483" spans="1:9" x14ac:dyDescent="0.3">
      <c r="A483" s="30" t="s">
        <v>643</v>
      </c>
      <c r="B483" s="31" t="s">
        <v>212</v>
      </c>
      <c r="C483" s="47" t="s">
        <v>621</v>
      </c>
      <c r="D483" s="31" t="s">
        <v>937</v>
      </c>
      <c r="E483" s="32" t="s">
        <v>620</v>
      </c>
      <c r="F483" s="32" t="s">
        <v>626</v>
      </c>
      <c r="G483" s="32" t="s">
        <v>1074</v>
      </c>
      <c r="H483" s="32"/>
      <c r="I483" s="48"/>
    </row>
    <row r="484" spans="1:9" x14ac:dyDescent="0.3">
      <c r="A484" s="34"/>
      <c r="B484" s="35"/>
      <c r="C484" s="28"/>
      <c r="D484" s="35"/>
      <c r="E484" s="25" t="s">
        <v>652</v>
      </c>
      <c r="F484" s="25" t="s">
        <v>1075</v>
      </c>
      <c r="G484" s="25" t="s">
        <v>522</v>
      </c>
      <c r="H484" s="25">
        <v>84</v>
      </c>
      <c r="I484" s="49"/>
    </row>
    <row r="485" spans="1:9" ht="15" thickBot="1" x14ac:dyDescent="0.35">
      <c r="A485" s="38"/>
      <c r="B485" s="40"/>
      <c r="C485" s="50"/>
      <c r="D485" s="40"/>
      <c r="E485" s="39" t="s">
        <v>630</v>
      </c>
      <c r="F485" s="39" t="s">
        <v>1075</v>
      </c>
      <c r="G485" s="39" t="s">
        <v>209</v>
      </c>
      <c r="H485" s="39">
        <v>30</v>
      </c>
      <c r="I485" s="51">
        <v>17</v>
      </c>
    </row>
    <row r="486" spans="1:9" x14ac:dyDescent="0.3">
      <c r="A486" s="30" t="s">
        <v>643</v>
      </c>
      <c r="B486" s="31" t="s">
        <v>222</v>
      </c>
      <c r="C486" s="47" t="s">
        <v>621</v>
      </c>
      <c r="D486" s="31" t="s">
        <v>820</v>
      </c>
      <c r="E486" s="32" t="s">
        <v>620</v>
      </c>
      <c r="F486" s="32" t="s">
        <v>626</v>
      </c>
      <c r="G486" s="32" t="s">
        <v>1074</v>
      </c>
      <c r="H486" s="32"/>
      <c r="I486" s="48"/>
    </row>
    <row r="487" spans="1:9" x14ac:dyDescent="0.3">
      <c r="A487" s="34"/>
      <c r="B487" s="35"/>
      <c r="C487" s="28"/>
      <c r="D487" s="35"/>
      <c r="E487" s="25" t="s">
        <v>652</v>
      </c>
      <c r="F487" s="25" t="s">
        <v>1075</v>
      </c>
      <c r="G487" s="25" t="s">
        <v>516</v>
      </c>
      <c r="H487" s="25">
        <v>83</v>
      </c>
      <c r="I487" s="49"/>
    </row>
    <row r="488" spans="1:9" ht="15" thickBot="1" x14ac:dyDescent="0.35">
      <c r="A488" s="38"/>
      <c r="B488" s="40"/>
      <c r="C488" s="50"/>
      <c r="D488" s="40"/>
      <c r="E488" s="39" t="s">
        <v>630</v>
      </c>
      <c r="F488" s="39" t="s">
        <v>1075</v>
      </c>
      <c r="G488" s="39" t="s">
        <v>219</v>
      </c>
      <c r="H488" s="39">
        <v>31</v>
      </c>
      <c r="I488" s="51"/>
    </row>
    <row r="489" spans="1:9" x14ac:dyDescent="0.3">
      <c r="A489" s="30" t="s">
        <v>643</v>
      </c>
      <c r="B489" s="31" t="s">
        <v>511</v>
      </c>
      <c r="C489" s="47" t="s">
        <v>621</v>
      </c>
      <c r="D489" s="31" t="s">
        <v>827</v>
      </c>
      <c r="E489" s="32" t="s">
        <v>620</v>
      </c>
      <c r="F489" s="32" t="s">
        <v>626</v>
      </c>
      <c r="G489" s="32" t="s">
        <v>1074</v>
      </c>
      <c r="H489" s="32"/>
      <c r="I489" s="48"/>
    </row>
    <row r="490" spans="1:9" ht="15" thickBot="1" x14ac:dyDescent="0.35">
      <c r="A490" s="38"/>
      <c r="B490" s="40"/>
      <c r="C490" s="50"/>
      <c r="D490" s="40"/>
      <c r="E490" s="39" t="s">
        <v>652</v>
      </c>
      <c r="F490" s="39" t="s">
        <v>1075</v>
      </c>
      <c r="G490" s="39" t="s">
        <v>508</v>
      </c>
      <c r="H490" s="39">
        <v>82</v>
      </c>
      <c r="I490" s="51"/>
    </row>
    <row r="491" spans="1:9" x14ac:dyDescent="0.3">
      <c r="A491" s="30" t="s">
        <v>643</v>
      </c>
      <c r="B491" s="31" t="s">
        <v>481</v>
      </c>
      <c r="C491" s="47" t="s">
        <v>621</v>
      </c>
      <c r="D491" s="31" t="s">
        <v>883</v>
      </c>
      <c r="E491" s="32" t="s">
        <v>620</v>
      </c>
      <c r="F491" s="32" t="s">
        <v>626</v>
      </c>
      <c r="G491" s="32" t="s">
        <v>1074</v>
      </c>
      <c r="H491" s="32"/>
      <c r="I491" s="48"/>
    </row>
    <row r="492" spans="1:9" ht="15" thickBot="1" x14ac:dyDescent="0.35">
      <c r="A492" s="38"/>
      <c r="B492" s="40"/>
      <c r="C492" s="50"/>
      <c r="D492" s="40"/>
      <c r="E492" s="39" t="s">
        <v>652</v>
      </c>
      <c r="F492" s="39" t="s">
        <v>1075</v>
      </c>
      <c r="G492" s="39" t="s">
        <v>478</v>
      </c>
      <c r="H492" s="39">
        <v>77</v>
      </c>
      <c r="I492" s="51"/>
    </row>
    <row r="493" spans="1:9" x14ac:dyDescent="0.3">
      <c r="A493" s="30" t="s">
        <v>643</v>
      </c>
      <c r="B493" s="31" t="s">
        <v>488</v>
      </c>
      <c r="C493" s="47" t="s">
        <v>621</v>
      </c>
      <c r="D493" s="31" t="s">
        <v>671</v>
      </c>
      <c r="E493" s="32" t="s">
        <v>620</v>
      </c>
      <c r="F493" s="32" t="s">
        <v>626</v>
      </c>
      <c r="G493" s="32" t="s">
        <v>1074</v>
      </c>
      <c r="H493" s="32"/>
      <c r="I493" s="48"/>
    </row>
    <row r="494" spans="1:9" ht="15" thickBot="1" x14ac:dyDescent="0.35">
      <c r="A494" s="38"/>
      <c r="B494" s="40"/>
      <c r="C494" s="50"/>
      <c r="D494" s="40"/>
      <c r="E494" s="39" t="s">
        <v>652</v>
      </c>
      <c r="F494" s="39" t="s">
        <v>1075</v>
      </c>
      <c r="G494" s="39" t="s">
        <v>485</v>
      </c>
      <c r="H494" s="39">
        <v>78</v>
      </c>
      <c r="I494" s="51">
        <v>37</v>
      </c>
    </row>
    <row r="495" spans="1:9" x14ac:dyDescent="0.3">
      <c r="A495" s="30" t="s">
        <v>643</v>
      </c>
      <c r="B495" s="31" t="s">
        <v>495</v>
      </c>
      <c r="C495" s="47" t="s">
        <v>621</v>
      </c>
      <c r="D495" s="31" t="s">
        <v>657</v>
      </c>
      <c r="E495" s="32" t="s">
        <v>620</v>
      </c>
      <c r="F495" s="32" t="s">
        <v>626</v>
      </c>
      <c r="G495" s="32" t="s">
        <v>1074</v>
      </c>
      <c r="H495" s="32"/>
      <c r="I495" s="48"/>
    </row>
    <row r="496" spans="1:9" ht="15" thickBot="1" x14ac:dyDescent="0.35">
      <c r="A496" s="38"/>
      <c r="B496" s="40"/>
      <c r="C496" s="50"/>
      <c r="D496" s="40"/>
      <c r="E496" s="39" t="s">
        <v>652</v>
      </c>
      <c r="F496" s="39" t="s">
        <v>1075</v>
      </c>
      <c r="G496" s="39" t="s">
        <v>492</v>
      </c>
      <c r="H496" s="39">
        <v>79</v>
      </c>
      <c r="I496" s="51">
        <v>38</v>
      </c>
    </row>
    <row r="497" spans="1:9" x14ac:dyDescent="0.3">
      <c r="A497" s="30" t="s">
        <v>643</v>
      </c>
      <c r="B497" s="31" t="s">
        <v>149</v>
      </c>
      <c r="C497" s="47" t="s">
        <v>621</v>
      </c>
      <c r="D497" s="31" t="s">
        <v>968</v>
      </c>
      <c r="E497" s="32" t="s">
        <v>620</v>
      </c>
      <c r="F497" s="32" t="s">
        <v>626</v>
      </c>
      <c r="G497" s="32" t="s">
        <v>1074</v>
      </c>
      <c r="H497" s="32"/>
      <c r="I497" s="48"/>
    </row>
    <row r="498" spans="1:9" x14ac:dyDescent="0.3">
      <c r="A498" s="34"/>
      <c r="B498" s="35"/>
      <c r="C498" s="28"/>
      <c r="D498" s="35"/>
      <c r="E498" s="25" t="s">
        <v>652</v>
      </c>
      <c r="F498" s="25" t="s">
        <v>1075</v>
      </c>
      <c r="G498" s="25" t="s">
        <v>374</v>
      </c>
      <c r="H498" s="25">
        <v>56</v>
      </c>
      <c r="I498" s="49">
        <v>28</v>
      </c>
    </row>
    <row r="499" spans="1:9" x14ac:dyDescent="0.3">
      <c r="A499" s="34"/>
      <c r="B499" s="35"/>
      <c r="C499" s="28"/>
      <c r="D499" s="35"/>
      <c r="E499" s="25" t="s">
        <v>630</v>
      </c>
      <c r="F499" s="25" t="s">
        <v>1075</v>
      </c>
      <c r="G499" s="25" t="s">
        <v>553</v>
      </c>
      <c r="H499" s="25">
        <v>93</v>
      </c>
      <c r="I499" s="49"/>
    </row>
    <row r="500" spans="1:9" x14ac:dyDescent="0.3">
      <c r="A500" s="34"/>
      <c r="B500" s="35"/>
      <c r="C500" s="28"/>
      <c r="D500" s="35"/>
      <c r="E500" s="25" t="s">
        <v>634</v>
      </c>
      <c r="F500" s="25" t="s">
        <v>1075</v>
      </c>
      <c r="G500" s="25" t="s">
        <v>145</v>
      </c>
      <c r="H500" s="25">
        <v>22</v>
      </c>
      <c r="I500" s="49">
        <v>11</v>
      </c>
    </row>
    <row r="501" spans="1:9" x14ac:dyDescent="0.3">
      <c r="A501" s="34"/>
      <c r="B501" s="35"/>
      <c r="C501" s="28"/>
      <c r="D501" s="35"/>
      <c r="E501" s="25" t="s">
        <v>637</v>
      </c>
      <c r="F501" s="25" t="s">
        <v>626</v>
      </c>
      <c r="G501" s="25" t="s">
        <v>1074</v>
      </c>
      <c r="H501" s="25"/>
      <c r="I501" s="49"/>
    </row>
    <row r="502" spans="1:9" ht="15" thickBot="1" x14ac:dyDescent="0.35">
      <c r="A502" s="38"/>
      <c r="B502" s="40"/>
      <c r="C502" s="50"/>
      <c r="D502" s="40"/>
      <c r="E502" s="39" t="s">
        <v>640</v>
      </c>
      <c r="F502" s="39" t="s">
        <v>1075</v>
      </c>
      <c r="G502" s="39" t="s">
        <v>240</v>
      </c>
      <c r="H502" s="39">
        <v>35</v>
      </c>
      <c r="I502" s="51"/>
    </row>
    <row r="503" spans="1:9" x14ac:dyDescent="0.3">
      <c r="A503" s="30" t="s">
        <v>643</v>
      </c>
      <c r="B503" s="31" t="s">
        <v>141</v>
      </c>
      <c r="C503" s="47" t="s">
        <v>621</v>
      </c>
      <c r="D503" s="31" t="s">
        <v>974</v>
      </c>
      <c r="E503" s="32" t="s">
        <v>620</v>
      </c>
      <c r="F503" s="32" t="s">
        <v>626</v>
      </c>
      <c r="G503" s="32" t="s">
        <v>1074</v>
      </c>
      <c r="H503" s="32"/>
      <c r="I503" s="48"/>
    </row>
    <row r="504" spans="1:9" x14ac:dyDescent="0.3">
      <c r="A504" s="34"/>
      <c r="B504" s="35"/>
      <c r="C504" s="28"/>
      <c r="D504" s="35"/>
      <c r="E504" s="25" t="s">
        <v>652</v>
      </c>
      <c r="F504" s="25" t="s">
        <v>1075</v>
      </c>
      <c r="G504" s="25" t="s">
        <v>557</v>
      </c>
      <c r="H504" s="25">
        <v>94</v>
      </c>
      <c r="I504" s="49"/>
    </row>
    <row r="505" spans="1:9" x14ac:dyDescent="0.3">
      <c r="A505" s="34"/>
      <c r="B505" s="35"/>
      <c r="C505" s="28"/>
      <c r="D505" s="35"/>
      <c r="E505" s="25" t="s">
        <v>630</v>
      </c>
      <c r="F505" s="25" t="s">
        <v>1075</v>
      </c>
      <c r="G505" s="25" t="s">
        <v>366</v>
      </c>
      <c r="H505" s="25">
        <v>55</v>
      </c>
      <c r="I505" s="49">
        <v>27</v>
      </c>
    </row>
    <row r="506" spans="1:9" x14ac:dyDescent="0.3">
      <c r="A506" s="34"/>
      <c r="B506" s="35"/>
      <c r="C506" s="28"/>
      <c r="D506" s="35"/>
      <c r="E506" s="25" t="s">
        <v>634</v>
      </c>
      <c r="F506" s="25" t="s">
        <v>1075</v>
      </c>
      <c r="G506" s="25" t="s">
        <v>139</v>
      </c>
      <c r="H506" s="25">
        <v>21</v>
      </c>
      <c r="I506" s="49"/>
    </row>
    <row r="507" spans="1:9" ht="15" thickBot="1" x14ac:dyDescent="0.35">
      <c r="A507" s="38"/>
      <c r="B507" s="40"/>
      <c r="C507" s="50"/>
      <c r="D507" s="40"/>
      <c r="E507" s="39" t="s">
        <v>637</v>
      </c>
      <c r="F507" s="39" t="s">
        <v>1075</v>
      </c>
      <c r="G507" s="39" t="s">
        <v>244</v>
      </c>
      <c r="H507" s="39">
        <v>36</v>
      </c>
      <c r="I507" s="51"/>
    </row>
    <row r="508" spans="1:9" x14ac:dyDescent="0.3">
      <c r="A508" s="30" t="s">
        <v>643</v>
      </c>
      <c r="B508" s="31" t="s">
        <v>198</v>
      </c>
      <c r="C508" s="47" t="s">
        <v>621</v>
      </c>
      <c r="D508" s="31" t="s">
        <v>855</v>
      </c>
      <c r="E508" s="32" t="s">
        <v>620</v>
      </c>
      <c r="F508" s="32" t="s">
        <v>626</v>
      </c>
      <c r="G508" s="32" t="s">
        <v>1074</v>
      </c>
      <c r="H508" s="32"/>
      <c r="I508" s="48"/>
    </row>
    <row r="509" spans="1:9" x14ac:dyDescent="0.3">
      <c r="A509" s="34"/>
      <c r="B509" s="35"/>
      <c r="C509" s="28"/>
      <c r="D509" s="35"/>
      <c r="E509" s="25" t="s">
        <v>652</v>
      </c>
      <c r="F509" s="25" t="s">
        <v>1075</v>
      </c>
      <c r="G509" s="25" t="s">
        <v>526</v>
      </c>
      <c r="H509" s="25">
        <v>85</v>
      </c>
      <c r="I509" s="49"/>
    </row>
    <row r="510" spans="1:9" x14ac:dyDescent="0.3">
      <c r="A510" s="34"/>
      <c r="B510" s="35"/>
      <c r="C510" s="28"/>
      <c r="D510" s="35"/>
      <c r="E510" s="25" t="s">
        <v>630</v>
      </c>
      <c r="F510" s="25" t="s">
        <v>1075</v>
      </c>
      <c r="G510" s="25" t="s">
        <v>195</v>
      </c>
      <c r="H510" s="25">
        <v>28</v>
      </c>
      <c r="I510" s="49">
        <v>15</v>
      </c>
    </row>
    <row r="511" spans="1:9" x14ac:dyDescent="0.3">
      <c r="A511" s="34"/>
      <c r="B511" s="35"/>
      <c r="C511" s="28"/>
      <c r="D511" s="35"/>
      <c r="E511" s="25" t="s">
        <v>634</v>
      </c>
      <c r="F511" s="25" t="s">
        <v>1075</v>
      </c>
      <c r="G511" s="25" t="s">
        <v>351</v>
      </c>
      <c r="H511" s="25">
        <v>53</v>
      </c>
      <c r="I511" s="49">
        <v>25</v>
      </c>
    </row>
    <row r="512" spans="1:9" x14ac:dyDescent="0.3">
      <c r="A512" s="34"/>
      <c r="B512" s="35"/>
      <c r="C512" s="28"/>
      <c r="D512" s="35"/>
      <c r="E512" s="25" t="s">
        <v>637</v>
      </c>
      <c r="F512" s="25" t="s">
        <v>626</v>
      </c>
      <c r="G512" s="25" t="s">
        <v>1074</v>
      </c>
      <c r="H512" s="25"/>
      <c r="I512" s="49"/>
    </row>
    <row r="513" spans="1:9" ht="15" thickBot="1" x14ac:dyDescent="0.35">
      <c r="A513" s="38"/>
      <c r="B513" s="40"/>
      <c r="C513" s="50"/>
      <c r="D513" s="40"/>
      <c r="E513" s="39" t="s">
        <v>640</v>
      </c>
      <c r="F513" s="39" t="s">
        <v>1075</v>
      </c>
      <c r="G513" s="39" t="s">
        <v>235</v>
      </c>
      <c r="H513" s="39">
        <v>34</v>
      </c>
      <c r="I513" s="51"/>
    </row>
    <row r="514" spans="1:9" x14ac:dyDescent="0.3">
      <c r="A514" s="30" t="s">
        <v>688</v>
      </c>
      <c r="B514" s="31" t="s">
        <v>436</v>
      </c>
      <c r="C514" s="47" t="s">
        <v>621</v>
      </c>
      <c r="D514" s="31" t="s">
        <v>789</v>
      </c>
      <c r="E514" s="32" t="s">
        <v>620</v>
      </c>
      <c r="F514" s="32" t="s">
        <v>626</v>
      </c>
      <c r="G514" s="32" t="s">
        <v>1074</v>
      </c>
      <c r="H514" s="32"/>
      <c r="I514" s="48"/>
    </row>
    <row r="515" spans="1:9" x14ac:dyDescent="0.3">
      <c r="A515" s="34"/>
      <c r="B515" s="35"/>
      <c r="C515" s="28"/>
      <c r="D515" s="35"/>
      <c r="E515" s="25" t="s">
        <v>652</v>
      </c>
      <c r="F515" s="25" t="s">
        <v>1075</v>
      </c>
      <c r="G515" s="25" t="s">
        <v>433</v>
      </c>
      <c r="H515" s="25">
        <v>70</v>
      </c>
      <c r="I515" s="49">
        <v>33</v>
      </c>
    </row>
    <row r="516" spans="1:9" x14ac:dyDescent="0.3">
      <c r="A516" s="34"/>
      <c r="B516" s="35"/>
      <c r="C516" s="28"/>
      <c r="D516" s="35"/>
      <c r="E516" s="25" t="s">
        <v>630</v>
      </c>
      <c r="F516" s="25" t="s">
        <v>1075</v>
      </c>
      <c r="G516" s="25" t="s">
        <v>544</v>
      </c>
      <c r="H516" s="25">
        <v>91</v>
      </c>
      <c r="I516" s="49">
        <v>43</v>
      </c>
    </row>
    <row r="517" spans="1:9" x14ac:dyDescent="0.3">
      <c r="A517" s="34"/>
      <c r="B517" s="35"/>
      <c r="C517" s="28"/>
      <c r="D517" s="35"/>
      <c r="E517" s="25" t="s">
        <v>634</v>
      </c>
      <c r="F517" s="25" t="s">
        <v>626</v>
      </c>
      <c r="G517" s="25" t="s">
        <v>1074</v>
      </c>
      <c r="H517" s="25"/>
      <c r="I517" s="49"/>
    </row>
    <row r="518" spans="1:9" x14ac:dyDescent="0.3">
      <c r="A518" s="34"/>
      <c r="B518" s="35"/>
      <c r="C518" s="28"/>
      <c r="D518" s="35"/>
      <c r="E518" s="25" t="s">
        <v>637</v>
      </c>
      <c r="F518" s="25" t="s">
        <v>626</v>
      </c>
      <c r="G518" s="25" t="s">
        <v>1074</v>
      </c>
      <c r="H518" s="25"/>
      <c r="I518" s="49"/>
    </row>
    <row r="519" spans="1:9" ht="15" thickBot="1" x14ac:dyDescent="0.35">
      <c r="A519" s="38"/>
      <c r="B519" s="40"/>
      <c r="C519" s="50"/>
      <c r="D519" s="40"/>
      <c r="E519" s="39" t="s">
        <v>640</v>
      </c>
      <c r="F519" s="25" t="s">
        <v>626</v>
      </c>
      <c r="G519" s="25" t="s">
        <v>1074</v>
      </c>
      <c r="H519" s="39"/>
      <c r="I519" s="51"/>
    </row>
    <row r="520" spans="1:9" x14ac:dyDescent="0.3">
      <c r="A520" s="30" t="s">
        <v>688</v>
      </c>
      <c r="B520" s="31" t="s">
        <v>387</v>
      </c>
      <c r="C520" s="47" t="s">
        <v>621</v>
      </c>
      <c r="D520" s="31" t="s">
        <v>736</v>
      </c>
      <c r="E520" s="32" t="s">
        <v>620</v>
      </c>
      <c r="F520" s="32" t="s">
        <v>626</v>
      </c>
      <c r="G520" s="32" t="s">
        <v>1074</v>
      </c>
      <c r="H520" s="32"/>
      <c r="I520" s="48"/>
    </row>
    <row r="521" spans="1:9" x14ac:dyDescent="0.3">
      <c r="A521" s="34"/>
      <c r="B521" s="35"/>
      <c r="C521" s="28"/>
      <c r="D521" s="35"/>
      <c r="E521" s="25" t="s">
        <v>652</v>
      </c>
      <c r="F521" s="25" t="s">
        <v>1075</v>
      </c>
      <c r="G521" s="25" t="s">
        <v>385</v>
      </c>
      <c r="H521" s="25">
        <v>58</v>
      </c>
      <c r="I521" s="49"/>
    </row>
    <row r="522" spans="1:9" x14ac:dyDescent="0.3">
      <c r="A522" s="34"/>
      <c r="B522" s="35"/>
      <c r="C522" s="28"/>
      <c r="D522" s="35"/>
      <c r="E522" s="25" t="s">
        <v>630</v>
      </c>
      <c r="F522" s="25" t="s">
        <v>626</v>
      </c>
      <c r="G522" s="25" t="s">
        <v>1074</v>
      </c>
      <c r="H522" s="25"/>
      <c r="I522" s="49"/>
    </row>
    <row r="523" spans="1:9" x14ac:dyDescent="0.3">
      <c r="A523" s="34"/>
      <c r="B523" s="35"/>
      <c r="C523" s="28"/>
      <c r="D523" s="35"/>
      <c r="E523" s="25" t="s">
        <v>634</v>
      </c>
      <c r="F523" s="25" t="s">
        <v>626</v>
      </c>
      <c r="G523" s="25" t="s">
        <v>1074</v>
      </c>
      <c r="H523" s="25"/>
      <c r="I523" s="49"/>
    </row>
    <row r="524" spans="1:9" x14ac:dyDescent="0.3">
      <c r="A524" s="34"/>
      <c r="B524" s="35"/>
      <c r="C524" s="28"/>
      <c r="D524" s="35"/>
      <c r="E524" s="25" t="s">
        <v>637</v>
      </c>
      <c r="F524" s="25" t="s">
        <v>1075</v>
      </c>
      <c r="G524" s="25" t="s">
        <v>504</v>
      </c>
      <c r="H524" s="25">
        <v>81</v>
      </c>
      <c r="I524" s="49">
        <v>40</v>
      </c>
    </row>
    <row r="525" spans="1:9" x14ac:dyDescent="0.3">
      <c r="A525" s="34"/>
      <c r="B525" s="35"/>
      <c r="C525" s="28"/>
      <c r="D525" s="35"/>
      <c r="E525" s="25" t="s">
        <v>640</v>
      </c>
      <c r="F525" s="25" t="s">
        <v>626</v>
      </c>
      <c r="G525" s="25" t="s">
        <v>1074</v>
      </c>
      <c r="H525" s="25"/>
      <c r="I525" s="49"/>
    </row>
    <row r="526" spans="1:9" ht="15" thickBot="1" x14ac:dyDescent="0.35">
      <c r="A526" s="38"/>
      <c r="B526" s="40"/>
      <c r="C526" s="50"/>
      <c r="D526" s="40"/>
      <c r="E526" s="39" t="s">
        <v>642</v>
      </c>
      <c r="F526" s="39" t="s">
        <v>1075</v>
      </c>
      <c r="G526" s="39" t="s">
        <v>427</v>
      </c>
      <c r="H526" s="39">
        <v>69</v>
      </c>
      <c r="I526" s="51"/>
    </row>
    <row r="527" spans="1:9" x14ac:dyDescent="0.3">
      <c r="A527" s="30" t="s">
        <v>688</v>
      </c>
      <c r="B527" s="31" t="s">
        <v>510</v>
      </c>
      <c r="C527" s="47" t="s">
        <v>621</v>
      </c>
      <c r="D527" s="31" t="s">
        <v>828</v>
      </c>
      <c r="E527" s="32" t="s">
        <v>620</v>
      </c>
      <c r="F527" s="32" t="s">
        <v>626</v>
      </c>
      <c r="G527" s="32" t="s">
        <v>1074</v>
      </c>
      <c r="H527" s="32"/>
      <c r="I527" s="48"/>
    </row>
    <row r="528" spans="1:9" x14ac:dyDescent="0.3">
      <c r="A528" s="34"/>
      <c r="B528" s="35"/>
      <c r="C528" s="28"/>
      <c r="D528" s="35"/>
      <c r="E528" s="25" t="s">
        <v>652</v>
      </c>
      <c r="F528" s="25" t="s">
        <v>626</v>
      </c>
      <c r="G528" s="25" t="s">
        <v>1074</v>
      </c>
      <c r="H528" s="25"/>
      <c r="I528" s="49"/>
    </row>
    <row r="529" spans="1:9" ht="15" thickBot="1" x14ac:dyDescent="0.35">
      <c r="A529" s="38"/>
      <c r="B529" s="40"/>
      <c r="C529" s="50"/>
      <c r="D529" s="40"/>
      <c r="E529" s="39" t="s">
        <v>630</v>
      </c>
      <c r="F529" s="39" t="s">
        <v>1075</v>
      </c>
      <c r="G529" s="39" t="s">
        <v>508</v>
      </c>
      <c r="H529" s="39">
        <v>82</v>
      </c>
      <c r="I529" s="51"/>
    </row>
    <row r="530" spans="1:9" x14ac:dyDescent="0.3">
      <c r="A530" s="30" t="s">
        <v>688</v>
      </c>
      <c r="B530" s="31" t="s">
        <v>397</v>
      </c>
      <c r="C530" s="47" t="s">
        <v>621</v>
      </c>
      <c r="D530" s="31" t="s">
        <v>813</v>
      </c>
      <c r="E530" s="32" t="s">
        <v>620</v>
      </c>
      <c r="F530" s="32" t="s">
        <v>626</v>
      </c>
      <c r="G530" s="32" t="s">
        <v>1074</v>
      </c>
      <c r="H530" s="32"/>
      <c r="I530" s="48"/>
    </row>
    <row r="531" spans="1:9" x14ac:dyDescent="0.3">
      <c r="A531" s="34"/>
      <c r="B531" s="35"/>
      <c r="C531" s="28"/>
      <c r="D531" s="35"/>
      <c r="E531" s="25" t="s">
        <v>652</v>
      </c>
      <c r="F531" s="25" t="s">
        <v>1075</v>
      </c>
      <c r="G531" s="25" t="s">
        <v>395</v>
      </c>
      <c r="H531" s="25">
        <v>63</v>
      </c>
      <c r="I531" s="49"/>
    </row>
    <row r="532" spans="1:9" ht="15" thickBot="1" x14ac:dyDescent="0.35">
      <c r="A532" s="38"/>
      <c r="B532" s="40"/>
      <c r="C532" s="50"/>
      <c r="D532" s="40"/>
      <c r="E532" s="39" t="s">
        <v>630</v>
      </c>
      <c r="F532" s="39" t="s">
        <v>1075</v>
      </c>
      <c r="G532" s="39" t="s">
        <v>530</v>
      </c>
      <c r="H532" s="39">
        <v>88</v>
      </c>
      <c r="I532" s="51"/>
    </row>
    <row r="533" spans="1:9" x14ac:dyDescent="0.3">
      <c r="A533" s="30" t="s">
        <v>688</v>
      </c>
      <c r="B533" s="31" t="s">
        <v>536</v>
      </c>
      <c r="C533" s="47" t="s">
        <v>621</v>
      </c>
      <c r="D533" s="31" t="s">
        <v>807</v>
      </c>
      <c r="E533" s="32" t="s">
        <v>620</v>
      </c>
      <c r="F533" s="32" t="s">
        <v>626</v>
      </c>
      <c r="G533" s="32" t="s">
        <v>1074</v>
      </c>
      <c r="H533" s="32"/>
      <c r="I533" s="48"/>
    </row>
    <row r="534" spans="1:9" ht="15" thickBot="1" x14ac:dyDescent="0.35">
      <c r="A534" s="38"/>
      <c r="B534" s="40"/>
      <c r="C534" s="50"/>
      <c r="D534" s="40"/>
      <c r="E534" s="39" t="s">
        <v>652</v>
      </c>
      <c r="F534" s="39" t="s">
        <v>1075</v>
      </c>
      <c r="G534" s="39" t="s">
        <v>534</v>
      </c>
      <c r="H534" s="39">
        <v>89</v>
      </c>
      <c r="I534" s="51">
        <v>41</v>
      </c>
    </row>
    <row r="535" spans="1:9" x14ac:dyDescent="0.3">
      <c r="A535" s="30" t="s">
        <v>688</v>
      </c>
      <c r="B535" s="31" t="s">
        <v>541</v>
      </c>
      <c r="C535" s="47" t="s">
        <v>621</v>
      </c>
      <c r="D535" s="31" t="s">
        <v>798</v>
      </c>
      <c r="E535" s="32" t="s">
        <v>620</v>
      </c>
      <c r="F535" s="32" t="s">
        <v>626</v>
      </c>
      <c r="G535" s="32" t="s">
        <v>1074</v>
      </c>
      <c r="H535" s="32"/>
      <c r="I535" s="48"/>
    </row>
    <row r="536" spans="1:9" ht="15" thickBot="1" x14ac:dyDescent="0.35">
      <c r="A536" s="38"/>
      <c r="B536" s="40"/>
      <c r="C536" s="50"/>
      <c r="D536" s="40"/>
      <c r="E536" s="39" t="s">
        <v>652</v>
      </c>
      <c r="F536" s="39" t="s">
        <v>1075</v>
      </c>
      <c r="G536" s="39" t="s">
        <v>539</v>
      </c>
      <c r="H536" s="39">
        <v>90</v>
      </c>
      <c r="I536" s="51">
        <v>42</v>
      </c>
    </row>
    <row r="537" spans="1:9" x14ac:dyDescent="0.3">
      <c r="A537" s="30" t="s">
        <v>688</v>
      </c>
      <c r="B537" s="31" t="s">
        <v>413</v>
      </c>
      <c r="C537" s="47" t="s">
        <v>621</v>
      </c>
      <c r="D537" s="31" t="s">
        <v>699</v>
      </c>
      <c r="E537" s="32" t="s">
        <v>620</v>
      </c>
      <c r="F537" s="32" t="s">
        <v>626</v>
      </c>
      <c r="G537" s="32" t="s">
        <v>1074</v>
      </c>
      <c r="H537" s="32"/>
      <c r="I537" s="48"/>
    </row>
    <row r="538" spans="1:9" x14ac:dyDescent="0.3">
      <c r="A538" s="34"/>
      <c r="B538" s="35"/>
      <c r="C538" s="28"/>
      <c r="D538" s="35"/>
      <c r="E538" s="25" t="s">
        <v>652</v>
      </c>
      <c r="F538" s="25" t="s">
        <v>1075</v>
      </c>
      <c r="G538" s="25" t="s">
        <v>446</v>
      </c>
      <c r="H538" s="25">
        <v>72</v>
      </c>
      <c r="I538" s="49">
        <v>35</v>
      </c>
    </row>
    <row r="539" spans="1:9" x14ac:dyDescent="0.3">
      <c r="A539" s="34"/>
      <c r="B539" s="35"/>
      <c r="C539" s="28"/>
      <c r="D539" s="35"/>
      <c r="E539" s="25" t="s">
        <v>630</v>
      </c>
      <c r="F539" s="25" t="s">
        <v>1075</v>
      </c>
      <c r="G539" s="25" t="s">
        <v>411</v>
      </c>
      <c r="H539" s="25">
        <v>66</v>
      </c>
      <c r="I539" s="49"/>
    </row>
    <row r="540" spans="1:9" x14ac:dyDescent="0.3">
      <c r="A540" s="34"/>
      <c r="B540" s="35"/>
      <c r="C540" s="28"/>
      <c r="D540" s="35"/>
      <c r="E540" s="25" t="s">
        <v>634</v>
      </c>
      <c r="F540" s="25" t="s">
        <v>626</v>
      </c>
      <c r="G540" s="25" t="s">
        <v>1074</v>
      </c>
      <c r="H540" s="25"/>
      <c r="I540" s="49"/>
    </row>
    <row r="541" spans="1:9" ht="15" thickBot="1" x14ac:dyDescent="0.35">
      <c r="A541" s="38"/>
      <c r="B541" s="40"/>
      <c r="C541" s="50"/>
      <c r="D541" s="40"/>
      <c r="E541" s="39" t="s">
        <v>637</v>
      </c>
      <c r="F541" s="25" t="s">
        <v>626</v>
      </c>
      <c r="G541" s="25" t="s">
        <v>1074</v>
      </c>
      <c r="H541" s="39"/>
      <c r="I541" s="51"/>
    </row>
    <row r="542" spans="1:9" x14ac:dyDescent="0.3">
      <c r="A542" s="30" t="s">
        <v>688</v>
      </c>
      <c r="B542" s="31" t="s">
        <v>408</v>
      </c>
      <c r="C542" s="47" t="s">
        <v>621</v>
      </c>
      <c r="D542" s="31" t="s">
        <v>687</v>
      </c>
      <c r="E542" s="32" t="s">
        <v>620</v>
      </c>
      <c r="F542" s="32" t="s">
        <v>626</v>
      </c>
      <c r="G542" s="32" t="s">
        <v>1074</v>
      </c>
      <c r="H542" s="32"/>
      <c r="I542" s="48"/>
    </row>
    <row r="543" spans="1:9" x14ac:dyDescent="0.3">
      <c r="A543" s="34"/>
      <c r="B543" s="35"/>
      <c r="C543" s="28"/>
      <c r="D543" s="35"/>
      <c r="E543" s="25" t="s">
        <v>652</v>
      </c>
      <c r="F543" s="25" t="s">
        <v>1075</v>
      </c>
      <c r="G543" s="25" t="s">
        <v>406</v>
      </c>
      <c r="H543" s="25">
        <v>65</v>
      </c>
      <c r="I543" s="49"/>
    </row>
    <row r="544" spans="1:9" x14ac:dyDescent="0.3">
      <c r="A544" s="34"/>
      <c r="B544" s="35"/>
      <c r="C544" s="28"/>
      <c r="D544" s="35"/>
      <c r="E544" s="25" t="s">
        <v>630</v>
      </c>
      <c r="F544" s="25" t="s">
        <v>1075</v>
      </c>
      <c r="G544" s="25" t="s">
        <v>452</v>
      </c>
      <c r="H544" s="25">
        <v>73</v>
      </c>
      <c r="I544" s="49">
        <v>36</v>
      </c>
    </row>
    <row r="545" spans="1:9" x14ac:dyDescent="0.3">
      <c r="A545" s="34"/>
      <c r="B545" s="35"/>
      <c r="C545" s="28"/>
      <c r="D545" s="35"/>
      <c r="E545" s="25" t="s">
        <v>634</v>
      </c>
      <c r="F545" s="25" t="s">
        <v>626</v>
      </c>
      <c r="G545" s="25" t="s">
        <v>1074</v>
      </c>
      <c r="H545" s="25"/>
      <c r="I545" s="49"/>
    </row>
    <row r="546" spans="1:9" ht="15" thickBot="1" x14ac:dyDescent="0.35">
      <c r="A546" s="38"/>
      <c r="B546" s="40"/>
      <c r="C546" s="50"/>
      <c r="D546" s="40"/>
      <c r="E546" s="39" t="s">
        <v>637</v>
      </c>
      <c r="F546" s="25" t="s">
        <v>626</v>
      </c>
      <c r="G546" s="25" t="s">
        <v>1074</v>
      </c>
      <c r="H546" s="39"/>
      <c r="I546" s="51"/>
    </row>
    <row r="547" spans="1:9" x14ac:dyDescent="0.3">
      <c r="A547" s="30" t="s">
        <v>688</v>
      </c>
      <c r="B547" s="31" t="s">
        <v>403</v>
      </c>
      <c r="C547" s="47" t="s">
        <v>621</v>
      </c>
      <c r="D547" s="31" t="s">
        <v>927</v>
      </c>
      <c r="E547" s="32" t="s">
        <v>620</v>
      </c>
      <c r="F547" s="32" t="s">
        <v>626</v>
      </c>
      <c r="G547" s="32" t="s">
        <v>1074</v>
      </c>
      <c r="H547" s="32"/>
      <c r="I547" s="48"/>
    </row>
    <row r="548" spans="1:9" x14ac:dyDescent="0.3">
      <c r="A548" s="34"/>
      <c r="B548" s="35"/>
      <c r="C548" s="28"/>
      <c r="D548" s="35"/>
      <c r="E548" s="25" t="s">
        <v>652</v>
      </c>
      <c r="F548" s="25" t="s">
        <v>1075</v>
      </c>
      <c r="G548" s="25" t="s">
        <v>440</v>
      </c>
      <c r="H548" s="25">
        <v>71</v>
      </c>
      <c r="I548" s="49">
        <v>34</v>
      </c>
    </row>
    <row r="549" spans="1:9" x14ac:dyDescent="0.3">
      <c r="A549" s="34"/>
      <c r="B549" s="35"/>
      <c r="C549" s="28"/>
      <c r="D549" s="35"/>
      <c r="E549" s="25" t="s">
        <v>630</v>
      </c>
      <c r="F549" s="25" t="s">
        <v>1075</v>
      </c>
      <c r="G549" s="25" t="s">
        <v>401</v>
      </c>
      <c r="H549" s="25">
        <v>64</v>
      </c>
      <c r="I549" s="49"/>
    </row>
    <row r="550" spans="1:9" x14ac:dyDescent="0.3">
      <c r="A550" s="34"/>
      <c r="B550" s="35"/>
      <c r="C550" s="28"/>
      <c r="D550" s="35"/>
      <c r="E550" s="25" t="s">
        <v>634</v>
      </c>
      <c r="F550" s="25" t="s">
        <v>626</v>
      </c>
      <c r="G550" s="25" t="s">
        <v>1074</v>
      </c>
      <c r="H550" s="25"/>
      <c r="I550" s="49"/>
    </row>
    <row r="551" spans="1:9" x14ac:dyDescent="0.3">
      <c r="A551" s="34"/>
      <c r="B551" s="35"/>
      <c r="C551" s="28"/>
      <c r="D551" s="35"/>
      <c r="E551" s="25" t="s">
        <v>637</v>
      </c>
      <c r="F551" s="25" t="s">
        <v>626</v>
      </c>
      <c r="G551" s="25" t="s">
        <v>1074</v>
      </c>
      <c r="H551" s="25"/>
      <c r="I551" s="49"/>
    </row>
    <row r="552" spans="1:9" ht="15" thickBot="1" x14ac:dyDescent="0.35">
      <c r="A552" s="38"/>
      <c r="B552" s="40"/>
      <c r="C552" s="50"/>
      <c r="D552" s="40"/>
      <c r="E552" s="39" t="s">
        <v>640</v>
      </c>
      <c r="F552" s="25" t="s">
        <v>626</v>
      </c>
      <c r="G552" s="25" t="s">
        <v>1074</v>
      </c>
      <c r="H552" s="39"/>
      <c r="I552" s="51"/>
    </row>
    <row r="553" spans="1:9" x14ac:dyDescent="0.3">
      <c r="A553" s="30" t="s">
        <v>752</v>
      </c>
      <c r="B553" s="31" t="s">
        <v>76</v>
      </c>
      <c r="C553" s="47" t="s">
        <v>621</v>
      </c>
      <c r="D553" s="31" t="s">
        <v>768</v>
      </c>
      <c r="E553" s="32" t="s">
        <v>620</v>
      </c>
      <c r="F553" s="32" t="s">
        <v>626</v>
      </c>
      <c r="G553" s="32" t="s">
        <v>1074</v>
      </c>
      <c r="H553" s="32"/>
      <c r="I553" s="48"/>
    </row>
    <row r="554" spans="1:9" x14ac:dyDescent="0.3">
      <c r="A554" s="34"/>
      <c r="B554" s="35"/>
      <c r="C554" s="28"/>
      <c r="D554" s="35"/>
      <c r="E554" s="25" t="s">
        <v>652</v>
      </c>
      <c r="F554" s="25" t="s">
        <v>1075</v>
      </c>
      <c r="G554" s="25" t="s">
        <v>581</v>
      </c>
      <c r="H554" s="25">
        <v>99</v>
      </c>
      <c r="I554" s="49"/>
    </row>
    <row r="555" spans="1:9" x14ac:dyDescent="0.3">
      <c r="A555" s="34"/>
      <c r="B555" s="35"/>
      <c r="C555" s="28"/>
      <c r="D555" s="35"/>
      <c r="E555" s="25" t="s">
        <v>630</v>
      </c>
      <c r="F555" s="25" t="s">
        <v>1075</v>
      </c>
      <c r="G555" s="25" t="s">
        <v>290</v>
      </c>
      <c r="H555" s="25">
        <v>46</v>
      </c>
      <c r="I555" s="49">
        <v>22</v>
      </c>
    </row>
    <row r="556" spans="1:9" x14ac:dyDescent="0.3">
      <c r="A556" s="34"/>
      <c r="B556" s="35"/>
      <c r="C556" s="28"/>
      <c r="D556" s="35"/>
      <c r="E556" s="25" t="s">
        <v>634</v>
      </c>
      <c r="F556" s="25" t="s">
        <v>1075</v>
      </c>
      <c r="G556" s="25" t="s">
        <v>74</v>
      </c>
      <c r="H556" s="25">
        <v>5</v>
      </c>
      <c r="I556" s="49"/>
    </row>
    <row r="557" spans="1:9" x14ac:dyDescent="0.3">
      <c r="A557" s="34"/>
      <c r="B557" s="35"/>
      <c r="C557" s="28"/>
      <c r="D557" s="35"/>
      <c r="E557" s="25" t="s">
        <v>637</v>
      </c>
      <c r="F557" s="25" t="s">
        <v>626</v>
      </c>
      <c r="G557" s="25" t="s">
        <v>1074</v>
      </c>
      <c r="H557" s="25"/>
      <c r="I557" s="49"/>
    </row>
    <row r="558" spans="1:9" x14ac:dyDescent="0.3">
      <c r="A558" s="34"/>
      <c r="B558" s="35"/>
      <c r="C558" s="28"/>
      <c r="D558" s="35"/>
      <c r="E558" s="25" t="s">
        <v>640</v>
      </c>
      <c r="F558" s="25" t="s">
        <v>1075</v>
      </c>
      <c r="G558" s="25" t="s">
        <v>95</v>
      </c>
      <c r="H558" s="25">
        <v>7</v>
      </c>
      <c r="I558" s="49"/>
    </row>
    <row r="559" spans="1:9" ht="15" thickBot="1" x14ac:dyDescent="0.35">
      <c r="A559" s="38"/>
      <c r="B559" s="40"/>
      <c r="C559" s="50"/>
      <c r="D559" s="40"/>
      <c r="E559" s="39" t="s">
        <v>642</v>
      </c>
      <c r="F559" s="25" t="s">
        <v>626</v>
      </c>
      <c r="G559" s="25" t="s">
        <v>1074</v>
      </c>
      <c r="H559" s="39"/>
      <c r="I559" s="51"/>
    </row>
    <row r="560" spans="1:9" x14ac:dyDescent="0.3">
      <c r="A560" s="30" t="s">
        <v>752</v>
      </c>
      <c r="B560" s="31" t="s">
        <v>88</v>
      </c>
      <c r="C560" s="47" t="s">
        <v>621</v>
      </c>
      <c r="D560" s="31" t="s">
        <v>976</v>
      </c>
      <c r="E560" s="32" t="s">
        <v>620</v>
      </c>
      <c r="F560" s="32" t="s">
        <v>626</v>
      </c>
      <c r="G560" s="32" t="s">
        <v>1074</v>
      </c>
      <c r="H560" s="32"/>
      <c r="I560" s="48"/>
    </row>
    <row r="561" spans="1:9" x14ac:dyDescent="0.3">
      <c r="A561" s="34"/>
      <c r="B561" s="35"/>
      <c r="C561" s="28"/>
      <c r="D561" s="35"/>
      <c r="E561" s="25" t="s">
        <v>652</v>
      </c>
      <c r="F561" s="25" t="s">
        <v>1075</v>
      </c>
      <c r="G561" s="25" t="s">
        <v>85</v>
      </c>
      <c r="H561" s="25">
        <v>6</v>
      </c>
      <c r="I561" s="49"/>
    </row>
    <row r="562" spans="1:9" x14ac:dyDescent="0.3">
      <c r="A562" s="34"/>
      <c r="B562" s="35"/>
      <c r="C562" s="28"/>
      <c r="D562" s="35"/>
      <c r="E562" s="25" t="s">
        <v>630</v>
      </c>
      <c r="F562" s="25" t="s">
        <v>626</v>
      </c>
      <c r="G562" s="25" t="s">
        <v>1074</v>
      </c>
      <c r="H562" s="25"/>
      <c r="I562" s="49"/>
    </row>
    <row r="563" spans="1:9" x14ac:dyDescent="0.3">
      <c r="A563" s="34"/>
      <c r="B563" s="35"/>
      <c r="C563" s="28"/>
      <c r="D563" s="35"/>
      <c r="E563" s="25" t="s">
        <v>634</v>
      </c>
      <c r="F563" s="25" t="s">
        <v>1075</v>
      </c>
      <c r="G563" s="25" t="s">
        <v>341</v>
      </c>
      <c r="H563" s="25">
        <v>52</v>
      </c>
      <c r="I563" s="49"/>
    </row>
    <row r="564" spans="1:9" ht="15" thickBot="1" x14ac:dyDescent="0.35">
      <c r="A564" s="38"/>
      <c r="B564" s="40"/>
      <c r="C564" s="50"/>
      <c r="D564" s="40"/>
      <c r="E564" s="39" t="s">
        <v>637</v>
      </c>
      <c r="F564" s="39" t="s">
        <v>1075</v>
      </c>
      <c r="G564" s="39" t="s">
        <v>324</v>
      </c>
      <c r="H564" s="39">
        <v>50</v>
      </c>
      <c r="I564" s="51"/>
    </row>
    <row r="565" spans="1:9" x14ac:dyDescent="0.3">
      <c r="A565" s="30" t="s">
        <v>752</v>
      </c>
      <c r="B565" s="31" t="s">
        <v>98</v>
      </c>
      <c r="C565" s="47" t="s">
        <v>621</v>
      </c>
      <c r="D565" s="31" t="s">
        <v>1062</v>
      </c>
      <c r="E565" s="32" t="s">
        <v>620</v>
      </c>
      <c r="F565" s="32" t="s">
        <v>626</v>
      </c>
      <c r="G565" s="32" t="s">
        <v>1074</v>
      </c>
      <c r="H565" s="32"/>
      <c r="I565" s="48"/>
    </row>
    <row r="566" spans="1:9" x14ac:dyDescent="0.3">
      <c r="A566" s="34"/>
      <c r="B566" s="35"/>
      <c r="C566" s="28"/>
      <c r="D566" s="35"/>
      <c r="E566" s="25" t="s">
        <v>652</v>
      </c>
      <c r="F566" s="25" t="s">
        <v>626</v>
      </c>
      <c r="G566" s="25" t="s">
        <v>1074</v>
      </c>
      <c r="H566" s="25"/>
      <c r="I566" s="49"/>
    </row>
    <row r="567" spans="1:9" x14ac:dyDescent="0.3">
      <c r="A567" s="34"/>
      <c r="B567" s="35"/>
      <c r="C567" s="28"/>
      <c r="D567" s="35"/>
      <c r="E567" s="25" t="s">
        <v>630</v>
      </c>
      <c r="F567" s="25" t="s">
        <v>1075</v>
      </c>
      <c r="G567" s="25" t="s">
        <v>95</v>
      </c>
      <c r="H567" s="25">
        <v>7</v>
      </c>
      <c r="I567" s="49"/>
    </row>
    <row r="568" spans="1:9" ht="15" thickBot="1" x14ac:dyDescent="0.35">
      <c r="A568" s="38"/>
      <c r="B568" s="40"/>
      <c r="C568" s="50"/>
      <c r="D568" s="40"/>
      <c r="E568" s="39" t="s">
        <v>634</v>
      </c>
      <c r="F568" s="25" t="s">
        <v>626</v>
      </c>
      <c r="G568" s="25" t="s">
        <v>1074</v>
      </c>
      <c r="H568" s="39"/>
      <c r="I568" s="51"/>
    </row>
    <row r="569" spans="1:9" x14ac:dyDescent="0.3">
      <c r="A569" s="30" t="s">
        <v>752</v>
      </c>
      <c r="B569" s="31" t="s">
        <v>518</v>
      </c>
      <c r="C569" s="47" t="s">
        <v>621</v>
      </c>
      <c r="D569" s="31" t="s">
        <v>821</v>
      </c>
      <c r="E569" s="32" t="s">
        <v>620</v>
      </c>
      <c r="F569" s="32" t="s">
        <v>626</v>
      </c>
      <c r="G569" s="32" t="s">
        <v>1074</v>
      </c>
      <c r="H569" s="32"/>
      <c r="I569" s="48"/>
    </row>
    <row r="570" spans="1:9" x14ac:dyDescent="0.3">
      <c r="A570" s="34"/>
      <c r="B570" s="35"/>
      <c r="C570" s="28"/>
      <c r="D570" s="35"/>
      <c r="E570" s="25" t="s">
        <v>652</v>
      </c>
      <c r="F570" s="25" t="s">
        <v>1075</v>
      </c>
      <c r="G570" s="25" t="s">
        <v>516</v>
      </c>
      <c r="H570" s="25">
        <v>83</v>
      </c>
      <c r="I570" s="49"/>
    </row>
    <row r="571" spans="1:9" ht="15" thickBot="1" x14ac:dyDescent="0.35">
      <c r="A571" s="38"/>
      <c r="B571" s="40"/>
      <c r="C571" s="50"/>
      <c r="D571" s="40"/>
      <c r="E571" s="39" t="s">
        <v>630</v>
      </c>
      <c r="F571" s="25" t="s">
        <v>626</v>
      </c>
      <c r="G571" s="25" t="s">
        <v>1074</v>
      </c>
      <c r="H571" s="39"/>
      <c r="I571" s="51"/>
    </row>
    <row r="572" spans="1:9" x14ac:dyDescent="0.3">
      <c r="A572" s="30" t="s">
        <v>752</v>
      </c>
      <c r="B572" s="31" t="s">
        <v>41</v>
      </c>
      <c r="C572" s="47" t="s">
        <v>621</v>
      </c>
      <c r="D572" s="31" t="s">
        <v>989</v>
      </c>
      <c r="E572" s="32" t="s">
        <v>620</v>
      </c>
      <c r="F572" s="32" t="s">
        <v>626</v>
      </c>
      <c r="G572" s="32" t="s">
        <v>1074</v>
      </c>
      <c r="H572" s="32"/>
      <c r="I572" s="48"/>
    </row>
    <row r="573" spans="1:9" x14ac:dyDescent="0.3">
      <c r="A573" s="34"/>
      <c r="B573" s="35"/>
      <c r="C573" s="28"/>
      <c r="D573" s="35"/>
      <c r="E573" s="25" t="s">
        <v>652</v>
      </c>
      <c r="F573" s="25" t="s">
        <v>1075</v>
      </c>
      <c r="G573" s="25" t="s">
        <v>38</v>
      </c>
      <c r="H573" s="25">
        <v>2</v>
      </c>
      <c r="I573" s="49"/>
    </row>
    <row r="574" spans="1:9" x14ac:dyDescent="0.3">
      <c r="A574" s="34"/>
      <c r="B574" s="35"/>
      <c r="C574" s="28"/>
      <c r="D574" s="35"/>
      <c r="E574" s="25" t="s">
        <v>630</v>
      </c>
      <c r="F574" s="25" t="s">
        <v>1075</v>
      </c>
      <c r="G574" s="25" t="s">
        <v>282</v>
      </c>
      <c r="H574" s="25">
        <v>45</v>
      </c>
      <c r="I574" s="49">
        <v>21</v>
      </c>
    </row>
    <row r="575" spans="1:9" x14ac:dyDescent="0.3">
      <c r="A575" s="34"/>
      <c r="B575" s="35"/>
      <c r="C575" s="28"/>
      <c r="D575" s="35"/>
      <c r="E575" s="25" t="s">
        <v>634</v>
      </c>
      <c r="F575" s="25" t="s">
        <v>626</v>
      </c>
      <c r="G575" s="25" t="s">
        <v>1074</v>
      </c>
      <c r="H575" s="25"/>
      <c r="I575" s="49"/>
    </row>
    <row r="576" spans="1:9" ht="15" thickBot="1" x14ac:dyDescent="0.35">
      <c r="A576" s="38"/>
      <c r="B576" s="40"/>
      <c r="C576" s="50"/>
      <c r="D576" s="40"/>
      <c r="E576" s="39" t="s">
        <v>637</v>
      </c>
      <c r="F576" s="25" t="s">
        <v>626</v>
      </c>
      <c r="G576" s="25" t="s">
        <v>1074</v>
      </c>
      <c r="H576" s="39"/>
      <c r="I576" s="51"/>
    </row>
    <row r="577" spans="1:9" x14ac:dyDescent="0.3">
      <c r="A577" s="30" t="s">
        <v>752</v>
      </c>
      <c r="B577" s="31" t="s">
        <v>27</v>
      </c>
      <c r="C577" s="47" t="s">
        <v>621</v>
      </c>
      <c r="D577" s="31" t="s">
        <v>862</v>
      </c>
      <c r="E577" s="32" t="s">
        <v>620</v>
      </c>
      <c r="F577" s="32" t="s">
        <v>626</v>
      </c>
      <c r="G577" s="32" t="s">
        <v>1074</v>
      </c>
      <c r="H577" s="32"/>
      <c r="I577" s="48"/>
    </row>
    <row r="578" spans="1:9" x14ac:dyDescent="0.3">
      <c r="A578" s="34"/>
      <c r="B578" s="35"/>
      <c r="C578" s="28"/>
      <c r="D578" s="35"/>
      <c r="E578" s="25" t="s">
        <v>652</v>
      </c>
      <c r="F578" s="25" t="s">
        <v>1075</v>
      </c>
      <c r="G578" s="25" t="s">
        <v>23</v>
      </c>
      <c r="H578" s="25">
        <v>1</v>
      </c>
      <c r="I578" s="49"/>
    </row>
    <row r="579" spans="1:9" x14ac:dyDescent="0.3">
      <c r="A579" s="34"/>
      <c r="B579" s="35"/>
      <c r="C579" s="28"/>
      <c r="D579" s="35"/>
      <c r="E579" s="25" t="s">
        <v>630</v>
      </c>
      <c r="F579" s="25" t="s">
        <v>1075</v>
      </c>
      <c r="G579" s="25" t="s">
        <v>309</v>
      </c>
      <c r="H579" s="25">
        <v>48</v>
      </c>
      <c r="I579" s="49">
        <v>24</v>
      </c>
    </row>
    <row r="580" spans="1:9" x14ac:dyDescent="0.3">
      <c r="A580" s="34"/>
      <c r="B580" s="35"/>
      <c r="C580" s="28"/>
      <c r="D580" s="35"/>
      <c r="E580" s="25" t="s">
        <v>634</v>
      </c>
      <c r="F580" s="25" t="s">
        <v>626</v>
      </c>
      <c r="G580" s="25" t="s">
        <v>1074</v>
      </c>
      <c r="H580" s="25"/>
      <c r="I580" s="49"/>
    </row>
    <row r="581" spans="1:9" ht="15" thickBot="1" x14ac:dyDescent="0.35">
      <c r="A581" s="38"/>
      <c r="B581" s="40"/>
      <c r="C581" s="50"/>
      <c r="D581" s="40"/>
      <c r="E581" s="39" t="s">
        <v>637</v>
      </c>
      <c r="F581" s="25" t="s">
        <v>626</v>
      </c>
      <c r="G581" s="25" t="s">
        <v>1074</v>
      </c>
      <c r="H581" s="39"/>
      <c r="I581" s="51"/>
    </row>
    <row r="582" spans="1:9" x14ac:dyDescent="0.3">
      <c r="A582" s="30" t="s">
        <v>752</v>
      </c>
      <c r="B582" s="31" t="s">
        <v>303</v>
      </c>
      <c r="C582" s="47" t="s">
        <v>621</v>
      </c>
      <c r="D582" s="31" t="s">
        <v>761</v>
      </c>
      <c r="E582" s="32" t="s">
        <v>620</v>
      </c>
      <c r="F582" s="32" t="s">
        <v>626</v>
      </c>
      <c r="G582" s="32" t="s">
        <v>1074</v>
      </c>
      <c r="H582" s="32"/>
      <c r="I582" s="48"/>
    </row>
    <row r="583" spans="1:9" x14ac:dyDescent="0.3">
      <c r="A583" s="34"/>
      <c r="B583" s="35"/>
      <c r="C583" s="28"/>
      <c r="D583" s="35"/>
      <c r="E583" s="25" t="s">
        <v>652</v>
      </c>
      <c r="F583" s="25" t="s">
        <v>1075</v>
      </c>
      <c r="G583" s="25" t="s">
        <v>585</v>
      </c>
      <c r="H583" s="25">
        <v>100</v>
      </c>
      <c r="I583" s="49"/>
    </row>
    <row r="584" spans="1:9" x14ac:dyDescent="0.3">
      <c r="A584" s="34"/>
      <c r="B584" s="35"/>
      <c r="C584" s="28"/>
      <c r="D584" s="35"/>
      <c r="E584" s="25" t="s">
        <v>630</v>
      </c>
      <c r="F584" s="25" t="s">
        <v>1075</v>
      </c>
      <c r="G584" s="25" t="s">
        <v>300</v>
      </c>
      <c r="H584" s="25">
        <v>47</v>
      </c>
      <c r="I584" s="49">
        <v>23</v>
      </c>
    </row>
    <row r="585" spans="1:9" x14ac:dyDescent="0.3">
      <c r="A585" s="34"/>
      <c r="B585" s="35"/>
      <c r="C585" s="28"/>
      <c r="D585" s="35"/>
      <c r="E585" s="25" t="s">
        <v>634</v>
      </c>
      <c r="F585" s="25" t="s">
        <v>626</v>
      </c>
      <c r="G585" s="25" t="s">
        <v>1074</v>
      </c>
      <c r="H585" s="25"/>
      <c r="I585" s="49"/>
    </row>
    <row r="586" spans="1:9" ht="15" thickBot="1" x14ac:dyDescent="0.35">
      <c r="A586" s="38"/>
      <c r="B586" s="40"/>
      <c r="C586" s="50"/>
      <c r="D586" s="40"/>
      <c r="E586" s="39" t="s">
        <v>637</v>
      </c>
      <c r="F586" s="25" t="s">
        <v>626</v>
      </c>
      <c r="G586" s="25" t="s">
        <v>1074</v>
      </c>
      <c r="H586" s="39"/>
      <c r="I586" s="51"/>
    </row>
    <row r="587" spans="1:9" x14ac:dyDescent="0.3">
      <c r="A587" s="30" t="s">
        <v>725</v>
      </c>
      <c r="B587" s="31" t="s">
        <v>134</v>
      </c>
      <c r="C587" s="47" t="s">
        <v>621</v>
      </c>
      <c r="D587" s="31" t="s">
        <v>769</v>
      </c>
      <c r="E587" s="32" t="s">
        <v>620</v>
      </c>
      <c r="F587" s="32" t="s">
        <v>626</v>
      </c>
      <c r="G587" s="32" t="s">
        <v>1074</v>
      </c>
      <c r="H587" s="32"/>
      <c r="I587" s="48"/>
    </row>
    <row r="588" spans="1:9" x14ac:dyDescent="0.3">
      <c r="A588" s="34"/>
      <c r="B588" s="35"/>
      <c r="C588" s="28"/>
      <c r="D588" s="35"/>
      <c r="E588" s="25" t="s">
        <v>652</v>
      </c>
      <c r="F588" s="25" t="s">
        <v>1075</v>
      </c>
      <c r="G588" s="25" t="s">
        <v>131</v>
      </c>
      <c r="H588" s="25">
        <v>20</v>
      </c>
      <c r="I588" s="49"/>
    </row>
    <row r="589" spans="1:9" x14ac:dyDescent="0.3">
      <c r="A589" s="34"/>
      <c r="B589" s="35"/>
      <c r="C589" s="28"/>
      <c r="D589" s="35"/>
      <c r="E589" s="25" t="s">
        <v>630</v>
      </c>
      <c r="F589" s="25" t="s">
        <v>1075</v>
      </c>
      <c r="G589" s="25" t="s">
        <v>395</v>
      </c>
      <c r="H589" s="25">
        <v>63</v>
      </c>
      <c r="I589" s="49"/>
    </row>
    <row r="590" spans="1:9" x14ac:dyDescent="0.3">
      <c r="A590" s="34"/>
      <c r="B590" s="35"/>
      <c r="C590" s="28"/>
      <c r="D590" s="35"/>
      <c r="E590" s="25" t="s">
        <v>634</v>
      </c>
      <c r="F590" s="25" t="s">
        <v>1075</v>
      </c>
      <c r="G590" s="25" t="s">
        <v>581</v>
      </c>
      <c r="H590" s="25">
        <v>99</v>
      </c>
      <c r="I590" s="49"/>
    </row>
    <row r="591" spans="1:9" ht="15" thickBot="1" x14ac:dyDescent="0.35">
      <c r="A591" s="38"/>
      <c r="B591" s="40"/>
      <c r="C591" s="50"/>
      <c r="D591" s="40"/>
      <c r="E591" s="39" t="s">
        <v>637</v>
      </c>
      <c r="F591" s="25" t="s">
        <v>626</v>
      </c>
      <c r="G591" s="25" t="s">
        <v>1074</v>
      </c>
      <c r="H591" s="39"/>
      <c r="I591" s="51"/>
    </row>
    <row r="592" spans="1:9" x14ac:dyDescent="0.3">
      <c r="A592" s="30" t="s">
        <v>725</v>
      </c>
      <c r="B592" s="31" t="s">
        <v>180</v>
      </c>
      <c r="C592" s="47" t="s">
        <v>621</v>
      </c>
      <c r="D592" s="31" t="s">
        <v>737</v>
      </c>
      <c r="E592" s="32" t="s">
        <v>620</v>
      </c>
      <c r="F592" s="32" t="s">
        <v>626</v>
      </c>
      <c r="G592" s="32" t="s">
        <v>1074</v>
      </c>
      <c r="H592" s="32"/>
      <c r="I592" s="48"/>
    </row>
    <row r="593" spans="1:9" x14ac:dyDescent="0.3">
      <c r="A593" s="34"/>
      <c r="B593" s="35"/>
      <c r="C593" s="28"/>
      <c r="D593" s="35"/>
      <c r="E593" s="25" t="s">
        <v>652</v>
      </c>
      <c r="F593" s="25" t="s">
        <v>1075</v>
      </c>
      <c r="G593" s="25" t="s">
        <v>178</v>
      </c>
      <c r="H593" s="25">
        <v>26</v>
      </c>
      <c r="I593" s="49">
        <v>13</v>
      </c>
    </row>
    <row r="594" spans="1:9" x14ac:dyDescent="0.3">
      <c r="A594" s="34"/>
      <c r="B594" s="35"/>
      <c r="C594" s="28"/>
      <c r="D594" s="35"/>
      <c r="E594" s="25" t="s">
        <v>630</v>
      </c>
      <c r="F594" s="25" t="s">
        <v>626</v>
      </c>
      <c r="G594" s="25" t="s">
        <v>1074</v>
      </c>
      <c r="H594" s="25"/>
      <c r="I594" s="49"/>
    </row>
    <row r="595" spans="1:9" x14ac:dyDescent="0.3">
      <c r="A595" s="34"/>
      <c r="B595" s="35"/>
      <c r="C595" s="28"/>
      <c r="D595" s="35"/>
      <c r="E595" s="25" t="s">
        <v>634</v>
      </c>
      <c r="F595" s="25" t="s">
        <v>626</v>
      </c>
      <c r="G595" s="25" t="s">
        <v>1074</v>
      </c>
      <c r="H595" s="25"/>
      <c r="I595" s="49"/>
    </row>
    <row r="596" spans="1:9" x14ac:dyDescent="0.3">
      <c r="A596" s="34"/>
      <c r="B596" s="35"/>
      <c r="C596" s="28"/>
      <c r="D596" s="35"/>
      <c r="E596" s="25" t="s">
        <v>637</v>
      </c>
      <c r="F596" s="25" t="s">
        <v>626</v>
      </c>
      <c r="G596" s="25" t="s">
        <v>1074</v>
      </c>
      <c r="H596" s="25"/>
      <c r="I596" s="49"/>
    </row>
    <row r="597" spans="1:9" ht="15" thickBot="1" x14ac:dyDescent="0.35">
      <c r="A597" s="38"/>
      <c r="B597" s="40"/>
      <c r="C597" s="50"/>
      <c r="D597" s="40"/>
      <c r="E597" s="39" t="s">
        <v>640</v>
      </c>
      <c r="F597" s="39" t="s">
        <v>1075</v>
      </c>
      <c r="G597" s="39" t="s">
        <v>385</v>
      </c>
      <c r="H597" s="39">
        <v>58</v>
      </c>
      <c r="I597" s="51"/>
    </row>
    <row r="598" spans="1:9" x14ac:dyDescent="0.3">
      <c r="A598" s="30" t="s">
        <v>725</v>
      </c>
      <c r="B598" s="31" t="s">
        <v>211</v>
      </c>
      <c r="C598" s="47" t="s">
        <v>621</v>
      </c>
      <c r="D598" s="31" t="s">
        <v>914</v>
      </c>
      <c r="E598" s="32" t="s">
        <v>620</v>
      </c>
      <c r="F598" s="32" t="s">
        <v>626</v>
      </c>
      <c r="G598" s="32" t="s">
        <v>1074</v>
      </c>
      <c r="H598" s="32"/>
      <c r="I598" s="48"/>
    </row>
    <row r="599" spans="1:9" x14ac:dyDescent="0.3">
      <c r="A599" s="34"/>
      <c r="B599" s="35"/>
      <c r="C599" s="28"/>
      <c r="D599" s="35"/>
      <c r="E599" s="25" t="s">
        <v>652</v>
      </c>
      <c r="F599" s="25" t="s">
        <v>1075</v>
      </c>
      <c r="G599" s="25" t="s">
        <v>417</v>
      </c>
      <c r="H599" s="25">
        <v>67</v>
      </c>
      <c r="I599" s="49">
        <v>32</v>
      </c>
    </row>
    <row r="600" spans="1:9" x14ac:dyDescent="0.3">
      <c r="A600" s="34"/>
      <c r="B600" s="35"/>
      <c r="C600" s="28"/>
      <c r="D600" s="35"/>
      <c r="E600" s="25" t="s">
        <v>630</v>
      </c>
      <c r="F600" s="25" t="s">
        <v>626</v>
      </c>
      <c r="G600" s="25" t="s">
        <v>1074</v>
      </c>
      <c r="H600" s="25"/>
      <c r="I600" s="49"/>
    </row>
    <row r="601" spans="1:9" x14ac:dyDescent="0.3">
      <c r="A601" s="34"/>
      <c r="B601" s="35"/>
      <c r="C601" s="28"/>
      <c r="D601" s="35"/>
      <c r="E601" s="25" t="s">
        <v>634</v>
      </c>
      <c r="F601" s="25" t="s">
        <v>626</v>
      </c>
      <c r="G601" s="25" t="s">
        <v>1074</v>
      </c>
      <c r="H601" s="25"/>
      <c r="I601" s="49"/>
    </row>
    <row r="602" spans="1:9" ht="15" thickBot="1" x14ac:dyDescent="0.35">
      <c r="A602" s="38"/>
      <c r="B602" s="40"/>
      <c r="C602" s="50"/>
      <c r="D602" s="40"/>
      <c r="E602" s="39" t="s">
        <v>637</v>
      </c>
      <c r="F602" s="39" t="s">
        <v>1075</v>
      </c>
      <c r="G602" s="39" t="s">
        <v>209</v>
      </c>
      <c r="H602" s="39">
        <v>30</v>
      </c>
      <c r="I602" s="51">
        <v>17</v>
      </c>
    </row>
    <row r="603" spans="1:9" x14ac:dyDescent="0.3">
      <c r="A603" s="30" t="s">
        <v>725</v>
      </c>
      <c r="B603" s="31" t="s">
        <v>221</v>
      </c>
      <c r="C603" s="47" t="s">
        <v>621</v>
      </c>
      <c r="D603" s="31" t="s">
        <v>908</v>
      </c>
      <c r="E603" s="32" t="s">
        <v>620</v>
      </c>
      <c r="F603" s="32" t="s">
        <v>626</v>
      </c>
      <c r="G603" s="32" t="s">
        <v>1074</v>
      </c>
      <c r="H603" s="32"/>
      <c r="I603" s="48"/>
    </row>
    <row r="604" spans="1:9" x14ac:dyDescent="0.3">
      <c r="A604" s="34"/>
      <c r="B604" s="35"/>
      <c r="C604" s="28"/>
      <c r="D604" s="35"/>
      <c r="E604" s="25" t="s">
        <v>652</v>
      </c>
      <c r="F604" s="25" t="s">
        <v>1075</v>
      </c>
      <c r="G604" s="25" t="s">
        <v>422</v>
      </c>
      <c r="H604" s="25">
        <v>68</v>
      </c>
      <c r="I604" s="49"/>
    </row>
    <row r="605" spans="1:9" x14ac:dyDescent="0.3">
      <c r="A605" s="34"/>
      <c r="B605" s="35"/>
      <c r="C605" s="28"/>
      <c r="D605" s="35"/>
      <c r="E605" s="25" t="s">
        <v>630</v>
      </c>
      <c r="F605" s="25" t="s">
        <v>626</v>
      </c>
      <c r="G605" s="25" t="s">
        <v>1074</v>
      </c>
      <c r="H605" s="25"/>
      <c r="I605" s="49"/>
    </row>
    <row r="606" spans="1:9" x14ac:dyDescent="0.3">
      <c r="A606" s="34"/>
      <c r="B606" s="35"/>
      <c r="C606" s="28"/>
      <c r="D606" s="35"/>
      <c r="E606" s="25" t="s">
        <v>634</v>
      </c>
      <c r="F606" s="25" t="s">
        <v>626</v>
      </c>
      <c r="G606" s="25" t="s">
        <v>1074</v>
      </c>
      <c r="H606" s="25"/>
      <c r="I606" s="49"/>
    </row>
    <row r="607" spans="1:9" x14ac:dyDescent="0.3">
      <c r="A607" s="34"/>
      <c r="B607" s="35"/>
      <c r="C607" s="28"/>
      <c r="D607" s="35"/>
      <c r="E607" s="25" t="s">
        <v>637</v>
      </c>
      <c r="F607" s="25" t="s">
        <v>626</v>
      </c>
      <c r="G607" s="25" t="s">
        <v>1074</v>
      </c>
      <c r="H607" s="25"/>
      <c r="I607" s="49"/>
    </row>
    <row r="608" spans="1:9" ht="15" thickBot="1" x14ac:dyDescent="0.35">
      <c r="A608" s="38"/>
      <c r="B608" s="40"/>
      <c r="C608" s="50"/>
      <c r="D608" s="40"/>
      <c r="E608" s="39" t="s">
        <v>640</v>
      </c>
      <c r="F608" s="39" t="s">
        <v>1075</v>
      </c>
      <c r="G608" s="39" t="s">
        <v>219</v>
      </c>
      <c r="H608" s="39">
        <v>31</v>
      </c>
      <c r="I608" s="51"/>
    </row>
    <row r="609" spans="1:9" x14ac:dyDescent="0.3">
      <c r="A609" s="30" t="s">
        <v>725</v>
      </c>
      <c r="B609" s="31" t="s">
        <v>54</v>
      </c>
      <c r="C609" s="47" t="s">
        <v>621</v>
      </c>
      <c r="D609" s="31" t="s">
        <v>998</v>
      </c>
      <c r="E609" s="32" t="s">
        <v>620</v>
      </c>
      <c r="F609" s="32" t="s">
        <v>626</v>
      </c>
      <c r="G609" s="32" t="s">
        <v>1074</v>
      </c>
      <c r="H609" s="32"/>
      <c r="I609" s="48"/>
    </row>
    <row r="610" spans="1:9" x14ac:dyDescent="0.3">
      <c r="A610" s="34"/>
      <c r="B610" s="35"/>
      <c r="C610" s="28"/>
      <c r="D610" s="35"/>
      <c r="E610" s="25" t="s">
        <v>652</v>
      </c>
      <c r="F610" s="25" t="s">
        <v>1075</v>
      </c>
      <c r="G610" s="25" t="s">
        <v>51</v>
      </c>
      <c r="H610" s="25">
        <v>3</v>
      </c>
      <c r="I610" s="49">
        <v>1</v>
      </c>
    </row>
    <row r="611" spans="1:9" x14ac:dyDescent="0.3">
      <c r="A611" s="34"/>
      <c r="B611" s="35"/>
      <c r="C611" s="28"/>
      <c r="D611" s="35"/>
      <c r="E611" s="25" t="s">
        <v>630</v>
      </c>
      <c r="F611" s="25" t="s">
        <v>1075</v>
      </c>
      <c r="G611" s="25" t="s">
        <v>392</v>
      </c>
      <c r="H611" s="25">
        <v>59</v>
      </c>
      <c r="I611" s="49"/>
    </row>
    <row r="612" spans="1:9" x14ac:dyDescent="0.3">
      <c r="A612" s="34"/>
      <c r="B612" s="35"/>
      <c r="C612" s="28"/>
      <c r="D612" s="35"/>
      <c r="E612" s="25" t="s">
        <v>634</v>
      </c>
      <c r="F612" s="25" t="s">
        <v>1075</v>
      </c>
      <c r="G612" s="25" t="s">
        <v>269</v>
      </c>
      <c r="H612" s="25">
        <v>43</v>
      </c>
      <c r="I612" s="49"/>
    </row>
    <row r="613" spans="1:9" ht="15" thickBot="1" x14ac:dyDescent="0.35">
      <c r="A613" s="38"/>
      <c r="B613" s="40"/>
      <c r="C613" s="50"/>
      <c r="D613" s="40"/>
      <c r="E613" s="39" t="s">
        <v>637</v>
      </c>
      <c r="F613" s="25" t="s">
        <v>626</v>
      </c>
      <c r="G613" s="25" t="s">
        <v>1074</v>
      </c>
      <c r="H613" s="39"/>
      <c r="I613" s="51"/>
    </row>
    <row r="614" spans="1:9" x14ac:dyDescent="0.3">
      <c r="A614" s="30" t="s">
        <v>725</v>
      </c>
      <c r="B614" s="31" t="s">
        <v>87</v>
      </c>
      <c r="C614" s="47" t="s">
        <v>621</v>
      </c>
      <c r="D614" s="31" t="s">
        <v>994</v>
      </c>
      <c r="E614" s="32" t="s">
        <v>620</v>
      </c>
      <c r="F614" s="32" t="s">
        <v>626</v>
      </c>
      <c r="G614" s="32" t="s">
        <v>1074</v>
      </c>
      <c r="H614" s="32"/>
      <c r="I614" s="48"/>
    </row>
    <row r="615" spans="1:9" x14ac:dyDescent="0.3">
      <c r="A615" s="34"/>
      <c r="B615" s="35"/>
      <c r="C615" s="28"/>
      <c r="D615" s="35"/>
      <c r="E615" s="25" t="s">
        <v>652</v>
      </c>
      <c r="F615" s="25" t="s">
        <v>1075</v>
      </c>
      <c r="G615" s="25" t="s">
        <v>85</v>
      </c>
      <c r="H615" s="25">
        <v>6</v>
      </c>
      <c r="I615" s="49"/>
    </row>
    <row r="616" spans="1:9" x14ac:dyDescent="0.3">
      <c r="A616" s="34"/>
      <c r="B616" s="35"/>
      <c r="C616" s="28"/>
      <c r="D616" s="35"/>
      <c r="E616" s="25" t="s">
        <v>630</v>
      </c>
      <c r="F616" s="25" t="s">
        <v>626</v>
      </c>
      <c r="G616" s="25" t="s">
        <v>1074</v>
      </c>
      <c r="H616" s="25"/>
      <c r="I616" s="49"/>
    </row>
    <row r="617" spans="1:9" x14ac:dyDescent="0.3">
      <c r="A617" s="34"/>
      <c r="B617" s="35"/>
      <c r="C617" s="28"/>
      <c r="D617" s="35"/>
      <c r="E617" s="25" t="s">
        <v>634</v>
      </c>
      <c r="F617" s="25" t="s">
        <v>1075</v>
      </c>
      <c r="G617" s="25" t="s">
        <v>275</v>
      </c>
      <c r="H617" s="25">
        <v>44</v>
      </c>
      <c r="I617" s="49">
        <v>20</v>
      </c>
    </row>
    <row r="618" spans="1:9" ht="15" thickBot="1" x14ac:dyDescent="0.35">
      <c r="A618" s="38"/>
      <c r="B618" s="40"/>
      <c r="C618" s="50"/>
      <c r="D618" s="40"/>
      <c r="E618" s="39" t="s">
        <v>637</v>
      </c>
      <c r="F618" s="25" t="s">
        <v>626</v>
      </c>
      <c r="G618" s="25" t="s">
        <v>1074</v>
      </c>
      <c r="H618" s="39"/>
      <c r="I618" s="51"/>
    </row>
    <row r="619" spans="1:9" x14ac:dyDescent="0.3">
      <c r="A619" s="30" t="s">
        <v>725</v>
      </c>
      <c r="B619" s="31" t="s">
        <v>65</v>
      </c>
      <c r="C619" s="47" t="s">
        <v>621</v>
      </c>
      <c r="D619" s="31" t="s">
        <v>835</v>
      </c>
      <c r="E619" s="32" t="s">
        <v>620</v>
      </c>
      <c r="F619" s="32" t="s">
        <v>626</v>
      </c>
      <c r="G619" s="32" t="s">
        <v>1074</v>
      </c>
      <c r="H619" s="32"/>
      <c r="I619" s="48"/>
    </row>
    <row r="620" spans="1:9" x14ac:dyDescent="0.3">
      <c r="A620" s="34"/>
      <c r="B620" s="35"/>
      <c r="C620" s="28"/>
      <c r="D620" s="35"/>
      <c r="E620" s="25" t="s">
        <v>652</v>
      </c>
      <c r="F620" s="25" t="s">
        <v>1075</v>
      </c>
      <c r="G620" s="25" t="s">
        <v>62</v>
      </c>
      <c r="H620" s="25">
        <v>4</v>
      </c>
      <c r="I620" s="49">
        <v>2</v>
      </c>
    </row>
    <row r="621" spans="1:9" s="89" customFormat="1" x14ac:dyDescent="0.3">
      <c r="A621" s="93"/>
      <c r="B621" s="94"/>
      <c r="C621" s="92"/>
      <c r="D621" s="94"/>
      <c r="E621" s="95" t="s">
        <v>630</v>
      </c>
      <c r="F621" s="95" t="s">
        <v>1075</v>
      </c>
      <c r="G621" s="95" t="s">
        <v>589</v>
      </c>
      <c r="H621" s="95"/>
      <c r="I621" s="96"/>
    </row>
    <row r="622" spans="1:9" x14ac:dyDescent="0.3">
      <c r="A622" s="34"/>
      <c r="B622" s="35"/>
      <c r="C622" s="28"/>
      <c r="D622" s="35"/>
      <c r="E622" s="25" t="s">
        <v>634</v>
      </c>
      <c r="F622" s="25" t="s">
        <v>1075</v>
      </c>
      <c r="G622" s="25" t="s">
        <v>264</v>
      </c>
      <c r="H622" s="25">
        <v>42</v>
      </c>
      <c r="I622" s="49"/>
    </row>
    <row r="623" spans="1:9" ht="15" thickBot="1" x14ac:dyDescent="0.35">
      <c r="A623" s="38"/>
      <c r="B623" s="40"/>
      <c r="C623" s="50"/>
      <c r="D623" s="40"/>
      <c r="E623" s="39" t="s">
        <v>637</v>
      </c>
      <c r="F623" s="25" t="s">
        <v>626</v>
      </c>
      <c r="G623" s="25" t="s">
        <v>1074</v>
      </c>
      <c r="H623" s="39"/>
      <c r="I623" s="51"/>
    </row>
    <row r="624" spans="1:9" x14ac:dyDescent="0.3">
      <c r="A624" s="30" t="s">
        <v>659</v>
      </c>
      <c r="B624" s="31" t="s">
        <v>378</v>
      </c>
      <c r="C624" s="47" t="s">
        <v>621</v>
      </c>
      <c r="D624" s="31" t="s">
        <v>658</v>
      </c>
      <c r="E624" s="32" t="s">
        <v>620</v>
      </c>
      <c r="F624" s="32" t="s">
        <v>626</v>
      </c>
      <c r="G624" s="32" t="s">
        <v>1105</v>
      </c>
      <c r="H624" s="32"/>
      <c r="I624" s="48"/>
    </row>
    <row r="625" spans="1:9" x14ac:dyDescent="0.3">
      <c r="A625" s="34"/>
      <c r="B625" s="35"/>
      <c r="C625" s="28"/>
      <c r="D625" s="35"/>
      <c r="E625" s="25" t="s">
        <v>652</v>
      </c>
      <c r="F625" s="25" t="s">
        <v>1075</v>
      </c>
      <c r="G625" s="25" t="s">
        <v>492</v>
      </c>
      <c r="H625" s="25">
        <v>79</v>
      </c>
      <c r="I625" s="49">
        <v>38</v>
      </c>
    </row>
    <row r="626" spans="1:9" ht="15" thickBot="1" x14ac:dyDescent="0.35">
      <c r="A626" s="38"/>
      <c r="B626" s="40"/>
      <c r="C626" s="50"/>
      <c r="D626" s="40"/>
      <c r="E626" s="39" t="s">
        <v>630</v>
      </c>
      <c r="F626" s="39" t="s">
        <v>1075</v>
      </c>
      <c r="G626" s="39" t="s">
        <v>374</v>
      </c>
      <c r="H626" s="39">
        <v>56</v>
      </c>
      <c r="I626" s="51">
        <v>28</v>
      </c>
    </row>
    <row r="627" spans="1:9" x14ac:dyDescent="0.3">
      <c r="A627" s="30" t="s">
        <v>659</v>
      </c>
      <c r="B627" s="31" t="s">
        <v>383</v>
      </c>
      <c r="C627" s="47" t="s">
        <v>621</v>
      </c>
      <c r="D627" s="31" t="s">
        <v>749</v>
      </c>
      <c r="E627" s="32" t="s">
        <v>620</v>
      </c>
      <c r="F627" s="32" t="s">
        <v>626</v>
      </c>
      <c r="G627" s="32" t="s">
        <v>1074</v>
      </c>
      <c r="H627" s="32"/>
      <c r="I627" s="48"/>
    </row>
    <row r="628" spans="1:9" x14ac:dyDescent="0.3">
      <c r="A628" s="34"/>
      <c r="B628" s="35"/>
      <c r="C628" s="28"/>
      <c r="D628" s="35"/>
      <c r="E628" s="25" t="s">
        <v>652</v>
      </c>
      <c r="F628" s="25" t="s">
        <v>1075</v>
      </c>
      <c r="G628" s="25" t="s">
        <v>380</v>
      </c>
      <c r="H628" s="25">
        <v>57</v>
      </c>
      <c r="I628" s="49">
        <v>29</v>
      </c>
    </row>
    <row r="629" spans="1:9" ht="15" thickBot="1" x14ac:dyDescent="0.35">
      <c r="A629" s="38"/>
      <c r="B629" s="40"/>
      <c r="C629" s="50"/>
      <c r="D629" s="40"/>
      <c r="E629" s="39" t="s">
        <v>630</v>
      </c>
      <c r="F629" s="39" t="s">
        <v>1075</v>
      </c>
      <c r="G629" s="39" t="s">
        <v>422</v>
      </c>
      <c r="H629" s="39">
        <v>68</v>
      </c>
      <c r="I629" s="51"/>
    </row>
    <row r="630" spans="1:9" x14ac:dyDescent="0.3">
      <c r="A630" s="30" t="s">
        <v>659</v>
      </c>
      <c r="B630" s="31" t="s">
        <v>348</v>
      </c>
      <c r="C630" s="47" t="s">
        <v>621</v>
      </c>
      <c r="D630" s="31" t="s">
        <v>901</v>
      </c>
      <c r="E630" s="32" t="s">
        <v>620</v>
      </c>
      <c r="F630" s="32" t="s">
        <v>626</v>
      </c>
      <c r="G630" s="32" t="s">
        <v>1074</v>
      </c>
      <c r="H630" s="32"/>
      <c r="I630" s="48"/>
    </row>
    <row r="631" spans="1:9" x14ac:dyDescent="0.3">
      <c r="A631" s="34"/>
      <c r="B631" s="35"/>
      <c r="C631" s="28"/>
      <c r="D631" s="35"/>
      <c r="E631" s="25" t="s">
        <v>652</v>
      </c>
      <c r="F631" s="25" t="s">
        <v>1075</v>
      </c>
      <c r="G631" s="25" t="s">
        <v>341</v>
      </c>
      <c r="H631" s="25">
        <v>52</v>
      </c>
      <c r="I631" s="49"/>
    </row>
    <row r="632" spans="1:9" ht="15" thickBot="1" x14ac:dyDescent="0.35">
      <c r="A632" s="38"/>
      <c r="B632" s="40"/>
      <c r="C632" s="50"/>
      <c r="D632" s="40"/>
      <c r="E632" s="39" t="s">
        <v>630</v>
      </c>
      <c r="F632" s="39" t="s">
        <v>1075</v>
      </c>
      <c r="G632" s="39" t="s">
        <v>458</v>
      </c>
      <c r="H632" s="39">
        <v>74</v>
      </c>
      <c r="I632" s="51"/>
    </row>
    <row r="633" spans="1:9" x14ac:dyDescent="0.3">
      <c r="A633" s="30" t="s">
        <v>659</v>
      </c>
      <c r="B633" s="31" t="s">
        <v>390</v>
      </c>
      <c r="C633" s="47" t="s">
        <v>621</v>
      </c>
      <c r="D633" s="31" t="s">
        <v>740</v>
      </c>
      <c r="E633" s="32" t="s">
        <v>620</v>
      </c>
      <c r="F633" s="32" t="s">
        <v>626</v>
      </c>
      <c r="G633" s="32" t="s">
        <v>1074</v>
      </c>
      <c r="H633" s="32"/>
      <c r="I633" s="48"/>
    </row>
    <row r="634" spans="1:9" x14ac:dyDescent="0.3">
      <c r="A634" s="34"/>
      <c r="B634" s="35"/>
      <c r="C634" s="28"/>
      <c r="D634" s="35"/>
      <c r="E634" s="25" t="s">
        <v>652</v>
      </c>
      <c r="F634" s="25" t="s">
        <v>1075</v>
      </c>
      <c r="G634" s="25" t="s">
        <v>385</v>
      </c>
      <c r="H634" s="25">
        <v>58</v>
      </c>
      <c r="I634" s="49"/>
    </row>
    <row r="635" spans="1:9" ht="15" thickBot="1" x14ac:dyDescent="0.35">
      <c r="A635" s="38"/>
      <c r="B635" s="40"/>
      <c r="C635" s="50"/>
      <c r="D635" s="40"/>
      <c r="E635" s="39" t="s">
        <v>630</v>
      </c>
      <c r="F635" s="39" t="s">
        <v>1075</v>
      </c>
      <c r="G635" s="39" t="s">
        <v>417</v>
      </c>
      <c r="H635" s="39">
        <v>67</v>
      </c>
      <c r="I635" s="51">
        <v>32</v>
      </c>
    </row>
    <row r="636" spans="1:9" x14ac:dyDescent="0.3">
      <c r="A636" s="30" t="s">
        <v>659</v>
      </c>
      <c r="B636" s="31" t="s">
        <v>217</v>
      </c>
      <c r="C636" s="47" t="s">
        <v>621</v>
      </c>
      <c r="D636" s="31" t="s">
        <v>685</v>
      </c>
      <c r="E636" s="32" t="s">
        <v>620</v>
      </c>
      <c r="F636" s="32" t="s">
        <v>626</v>
      </c>
      <c r="G636" s="32" t="s">
        <v>1074</v>
      </c>
      <c r="H636" s="32"/>
      <c r="I636" s="48"/>
    </row>
    <row r="637" spans="1:9" x14ac:dyDescent="0.3">
      <c r="A637" s="34"/>
      <c r="B637" s="35"/>
      <c r="C637" s="28"/>
      <c r="D637" s="35"/>
      <c r="E637" s="25" t="s">
        <v>652</v>
      </c>
      <c r="F637" s="25" t="s">
        <v>1075</v>
      </c>
      <c r="G637" s="25" t="s">
        <v>452</v>
      </c>
      <c r="H637" s="25">
        <v>73</v>
      </c>
      <c r="I637" s="49">
        <v>36</v>
      </c>
    </row>
    <row r="638" spans="1:9" x14ac:dyDescent="0.3">
      <c r="A638" s="34"/>
      <c r="B638" s="35"/>
      <c r="C638" s="28"/>
      <c r="D638" s="35"/>
      <c r="E638" s="25" t="s">
        <v>630</v>
      </c>
      <c r="F638" s="25" t="s">
        <v>1075</v>
      </c>
      <c r="G638" s="25" t="s">
        <v>358</v>
      </c>
      <c r="H638" s="25">
        <v>54</v>
      </c>
      <c r="I638" s="49">
        <v>26</v>
      </c>
    </row>
    <row r="639" spans="1:9" x14ac:dyDescent="0.3">
      <c r="A639" s="34"/>
      <c r="B639" s="35"/>
      <c r="C639" s="28"/>
      <c r="D639" s="35"/>
      <c r="E639" s="25" t="s">
        <v>634</v>
      </c>
      <c r="F639" s="25" t="s">
        <v>1075</v>
      </c>
      <c r="G639" s="25" t="s">
        <v>209</v>
      </c>
      <c r="H639" s="25">
        <v>30</v>
      </c>
      <c r="I639" s="49">
        <v>17</v>
      </c>
    </row>
    <row r="640" spans="1:9" ht="15" thickBot="1" x14ac:dyDescent="0.35">
      <c r="A640" s="38"/>
      <c r="B640" s="40"/>
      <c r="C640" s="50"/>
      <c r="D640" s="40"/>
      <c r="E640" s="39" t="s">
        <v>637</v>
      </c>
      <c r="F640" s="25" t="s">
        <v>626</v>
      </c>
      <c r="G640" s="25" t="s">
        <v>1074</v>
      </c>
      <c r="H640" s="39"/>
      <c r="I640" s="51"/>
    </row>
    <row r="641" spans="1:9" x14ac:dyDescent="0.3">
      <c r="A641" s="30" t="s">
        <v>659</v>
      </c>
      <c r="B641" s="31" t="s">
        <v>205</v>
      </c>
      <c r="C641" s="47" t="s">
        <v>621</v>
      </c>
      <c r="D641" s="31" t="s">
        <v>700</v>
      </c>
      <c r="E641" s="32" t="s">
        <v>620</v>
      </c>
      <c r="F641" s="32" t="s">
        <v>626</v>
      </c>
      <c r="G641" s="32" t="s">
        <v>1074</v>
      </c>
      <c r="H641" s="32"/>
      <c r="I641" s="48"/>
    </row>
    <row r="642" spans="1:9" x14ac:dyDescent="0.3">
      <c r="A642" s="34"/>
      <c r="B642" s="35"/>
      <c r="C642" s="28"/>
      <c r="D642" s="35"/>
      <c r="E642" s="25" t="s">
        <v>652</v>
      </c>
      <c r="F642" s="25" t="s">
        <v>1075</v>
      </c>
      <c r="G642" s="25" t="s">
        <v>446</v>
      </c>
      <c r="H642" s="25">
        <v>72</v>
      </c>
      <c r="I642" s="49">
        <v>35</v>
      </c>
    </row>
    <row r="643" spans="1:9" x14ac:dyDescent="0.3">
      <c r="A643" s="34"/>
      <c r="B643" s="35"/>
      <c r="C643" s="28"/>
      <c r="D643" s="35"/>
      <c r="E643" s="25" t="s">
        <v>630</v>
      </c>
      <c r="F643" s="25" t="s">
        <v>1075</v>
      </c>
      <c r="G643" s="25" t="s">
        <v>351</v>
      </c>
      <c r="H643" s="25">
        <v>53</v>
      </c>
      <c r="I643" s="49">
        <v>25</v>
      </c>
    </row>
    <row r="644" spans="1:9" x14ac:dyDescent="0.3">
      <c r="A644" s="34"/>
      <c r="B644" s="35"/>
      <c r="C644" s="28"/>
      <c r="D644" s="35"/>
      <c r="E644" s="25" t="s">
        <v>634</v>
      </c>
      <c r="F644" s="25" t="s">
        <v>1075</v>
      </c>
      <c r="G644" s="25" t="s">
        <v>202</v>
      </c>
      <c r="H644" s="25">
        <v>29</v>
      </c>
      <c r="I644" s="49">
        <v>16</v>
      </c>
    </row>
    <row r="645" spans="1:9" ht="15" thickBot="1" x14ac:dyDescent="0.35">
      <c r="A645" s="38"/>
      <c r="B645" s="40"/>
      <c r="C645" s="50"/>
      <c r="D645" s="40"/>
      <c r="E645" s="39" t="s">
        <v>637</v>
      </c>
      <c r="F645" s="25" t="s">
        <v>626</v>
      </c>
      <c r="G645" s="25" t="s">
        <v>1074</v>
      </c>
      <c r="H645" s="39"/>
      <c r="I645" s="51"/>
    </row>
    <row r="646" spans="1:9" x14ac:dyDescent="0.3">
      <c r="A646" s="30" t="s">
        <v>739</v>
      </c>
      <c r="B646" s="31" t="s">
        <v>48</v>
      </c>
      <c r="C646" s="47" t="s">
        <v>621</v>
      </c>
      <c r="D646" s="31" t="s">
        <v>738</v>
      </c>
      <c r="E646" s="32" t="s">
        <v>620</v>
      </c>
      <c r="F646" s="32" t="s">
        <v>626</v>
      </c>
      <c r="G646" s="32" t="s">
        <v>1105</v>
      </c>
      <c r="H646" s="32"/>
      <c r="I646" s="48"/>
    </row>
    <row r="647" spans="1:9" x14ac:dyDescent="0.3">
      <c r="A647" s="34"/>
      <c r="B647" s="35"/>
      <c r="C647" s="28"/>
      <c r="D647" s="35"/>
      <c r="E647" s="25" t="s">
        <v>652</v>
      </c>
      <c r="F647" s="25" t="s">
        <v>1075</v>
      </c>
      <c r="G647" s="25" t="s">
        <v>526</v>
      </c>
      <c r="H647" s="25">
        <v>85</v>
      </c>
      <c r="I647" s="49"/>
    </row>
    <row r="648" spans="1:9" x14ac:dyDescent="0.3">
      <c r="A648" s="34"/>
      <c r="B648" s="35"/>
      <c r="C648" s="28"/>
      <c r="D648" s="35"/>
      <c r="E648" s="25" t="s">
        <v>630</v>
      </c>
      <c r="F648" s="25" t="s">
        <v>1075</v>
      </c>
      <c r="G648" s="25" t="s">
        <v>385</v>
      </c>
      <c r="H648" s="25">
        <v>58</v>
      </c>
      <c r="I648" s="49"/>
    </row>
    <row r="649" spans="1:9" ht="15" thickBot="1" x14ac:dyDescent="0.35">
      <c r="A649" s="38"/>
      <c r="B649" s="40"/>
      <c r="C649" s="50"/>
      <c r="D649" s="40"/>
      <c r="E649" s="39" t="s">
        <v>634</v>
      </c>
      <c r="F649" s="39" t="s">
        <v>1075</v>
      </c>
      <c r="G649" s="39" t="s">
        <v>38</v>
      </c>
      <c r="H649" s="39">
        <v>2</v>
      </c>
      <c r="I649" s="51"/>
    </row>
    <row r="650" spans="1:9" x14ac:dyDescent="0.3">
      <c r="A650" s="30" t="s">
        <v>739</v>
      </c>
      <c r="B650" s="31" t="s">
        <v>483</v>
      </c>
      <c r="C650" s="47" t="s">
        <v>621</v>
      </c>
      <c r="D650" s="31" t="s">
        <v>884</v>
      </c>
      <c r="E650" s="32" t="s">
        <v>620</v>
      </c>
      <c r="F650" s="32" t="s">
        <v>626</v>
      </c>
      <c r="G650" s="32" t="s">
        <v>1074</v>
      </c>
      <c r="H650" s="32"/>
      <c r="I650" s="48"/>
    </row>
    <row r="651" spans="1:9" x14ac:dyDescent="0.3">
      <c r="A651" s="34"/>
      <c r="B651" s="35"/>
      <c r="C651" s="28"/>
      <c r="D651" s="35"/>
      <c r="E651" s="25" t="s">
        <v>652</v>
      </c>
      <c r="F651" s="25" t="s">
        <v>1075</v>
      </c>
      <c r="G651" s="25" t="s">
        <v>478</v>
      </c>
      <c r="H651" s="25">
        <v>77</v>
      </c>
      <c r="I651" s="49"/>
    </row>
    <row r="652" spans="1:9" ht="15" thickBot="1" x14ac:dyDescent="0.35">
      <c r="A652" s="38"/>
      <c r="B652" s="40"/>
      <c r="C652" s="50"/>
      <c r="D652" s="40"/>
      <c r="E652" s="39" t="s">
        <v>630</v>
      </c>
      <c r="F652" s="25" t="s">
        <v>626</v>
      </c>
      <c r="G652" s="25" t="s">
        <v>1074</v>
      </c>
      <c r="H652" s="39"/>
      <c r="I652" s="51"/>
    </row>
    <row r="653" spans="1:9" x14ac:dyDescent="0.3">
      <c r="A653" s="30" t="s">
        <v>739</v>
      </c>
      <c r="B653" s="31" t="s">
        <v>514</v>
      </c>
      <c r="C653" s="47" t="s">
        <v>621</v>
      </c>
      <c r="D653" s="31" t="s">
        <v>829</v>
      </c>
      <c r="E653" s="32" t="s">
        <v>620</v>
      </c>
      <c r="F653" s="32" t="s">
        <v>626</v>
      </c>
      <c r="G653" s="32" t="s">
        <v>1074</v>
      </c>
      <c r="H653" s="32"/>
      <c r="I653" s="48"/>
    </row>
    <row r="654" spans="1:9" x14ac:dyDescent="0.3">
      <c r="A654" s="34"/>
      <c r="B654" s="35"/>
      <c r="C654" s="28"/>
      <c r="D654" s="35"/>
      <c r="E654" s="25" t="s">
        <v>652</v>
      </c>
      <c r="F654" s="25" t="s">
        <v>1075</v>
      </c>
      <c r="G654" s="25" t="s">
        <v>508</v>
      </c>
      <c r="H654" s="25">
        <v>82</v>
      </c>
      <c r="I654" s="49"/>
    </row>
    <row r="655" spans="1:9" ht="15" thickBot="1" x14ac:dyDescent="0.35">
      <c r="A655" s="38"/>
      <c r="B655" s="40"/>
      <c r="C655" s="50"/>
      <c r="D655" s="40"/>
      <c r="E655" s="39" t="s">
        <v>630</v>
      </c>
      <c r="F655" s="25" t="s">
        <v>626</v>
      </c>
      <c r="G655" s="25" t="s">
        <v>1074</v>
      </c>
      <c r="H655" s="39"/>
      <c r="I655" s="51"/>
    </row>
    <row r="656" spans="1:9" x14ac:dyDescent="0.3">
      <c r="A656" s="30" t="s">
        <v>739</v>
      </c>
      <c r="B656" s="31" t="s">
        <v>476</v>
      </c>
      <c r="C656" s="47" t="s">
        <v>621</v>
      </c>
      <c r="D656" s="31" t="s">
        <v>890</v>
      </c>
      <c r="E656" s="32" t="s">
        <v>620</v>
      </c>
      <c r="F656" s="32" t="s">
        <v>626</v>
      </c>
      <c r="G656" s="32" t="s">
        <v>1074</v>
      </c>
      <c r="H656" s="32"/>
      <c r="I656" s="48"/>
    </row>
    <row r="657" spans="1:9" x14ac:dyDescent="0.3">
      <c r="A657" s="34"/>
      <c r="B657" s="35"/>
      <c r="C657" s="28"/>
      <c r="D657" s="35"/>
      <c r="E657" s="25" t="s">
        <v>652</v>
      </c>
      <c r="F657" s="25" t="s">
        <v>1075</v>
      </c>
      <c r="G657" s="25" t="s">
        <v>471</v>
      </c>
      <c r="H657" s="25">
        <v>76</v>
      </c>
      <c r="I657" s="49"/>
    </row>
    <row r="658" spans="1:9" ht="15" thickBot="1" x14ac:dyDescent="0.35">
      <c r="A658" s="38"/>
      <c r="B658" s="40"/>
      <c r="C658" s="50"/>
      <c r="D658" s="40"/>
      <c r="E658" s="39" t="s">
        <v>630</v>
      </c>
      <c r="F658" s="25" t="s">
        <v>626</v>
      </c>
      <c r="G658" s="25" t="s">
        <v>1074</v>
      </c>
      <c r="H658" s="39"/>
      <c r="I658" s="51"/>
    </row>
    <row r="659" spans="1:9" x14ac:dyDescent="0.3">
      <c r="A659" s="30" t="s">
        <v>739</v>
      </c>
      <c r="B659" s="31" t="s">
        <v>176</v>
      </c>
      <c r="C659" s="47" t="s">
        <v>621</v>
      </c>
      <c r="D659" s="31" t="s">
        <v>958</v>
      </c>
      <c r="E659" s="32" t="s">
        <v>620</v>
      </c>
      <c r="F659" s="32" t="s">
        <v>626</v>
      </c>
      <c r="G659" s="32" t="s">
        <v>1074</v>
      </c>
      <c r="H659" s="32"/>
      <c r="I659" s="48"/>
    </row>
    <row r="660" spans="1:9" x14ac:dyDescent="0.3">
      <c r="A660" s="34"/>
      <c r="B660" s="35"/>
      <c r="C660" s="28"/>
      <c r="D660" s="35"/>
      <c r="E660" s="25" t="s">
        <v>652</v>
      </c>
      <c r="F660" s="25" t="s">
        <v>1075</v>
      </c>
      <c r="G660" s="25" t="s">
        <v>504</v>
      </c>
      <c r="H660" s="25">
        <v>81</v>
      </c>
      <c r="I660" s="49">
        <v>40</v>
      </c>
    </row>
    <row r="661" spans="1:9" x14ac:dyDescent="0.3">
      <c r="A661" s="34"/>
      <c r="B661" s="35"/>
      <c r="C661" s="28"/>
      <c r="D661" s="35"/>
      <c r="E661" s="25" t="s">
        <v>630</v>
      </c>
      <c r="F661" s="25" t="s">
        <v>1075</v>
      </c>
      <c r="G661" s="25" t="s">
        <v>374</v>
      </c>
      <c r="H661" s="25">
        <v>56</v>
      </c>
      <c r="I661" s="49">
        <v>28</v>
      </c>
    </row>
    <row r="662" spans="1:9" x14ac:dyDescent="0.3">
      <c r="A662" s="34"/>
      <c r="B662" s="35"/>
      <c r="C662" s="28"/>
      <c r="D662" s="35"/>
      <c r="E662" s="25" t="s">
        <v>634</v>
      </c>
      <c r="F662" s="25" t="s">
        <v>1075</v>
      </c>
      <c r="G662" s="25" t="s">
        <v>171</v>
      </c>
      <c r="H662" s="25">
        <v>25</v>
      </c>
      <c r="I662" s="49"/>
    </row>
    <row r="663" spans="1:9" x14ac:dyDescent="0.3">
      <c r="A663" s="34"/>
      <c r="B663" s="35"/>
      <c r="C663" s="28"/>
      <c r="D663" s="35"/>
      <c r="E663" s="25" t="s">
        <v>637</v>
      </c>
      <c r="F663" s="25" t="s">
        <v>626</v>
      </c>
      <c r="G663" s="25" t="s">
        <v>1074</v>
      </c>
      <c r="H663" s="25"/>
      <c r="I663" s="49"/>
    </row>
    <row r="664" spans="1:9" ht="15" thickBot="1" x14ac:dyDescent="0.35">
      <c r="A664" s="38"/>
      <c r="B664" s="40"/>
      <c r="C664" s="50"/>
      <c r="D664" s="40"/>
      <c r="E664" s="39" t="s">
        <v>640</v>
      </c>
      <c r="F664" s="25" t="s">
        <v>626</v>
      </c>
      <c r="G664" s="25" t="s">
        <v>1074</v>
      </c>
      <c r="H664" s="39"/>
      <c r="I664" s="51"/>
    </row>
    <row r="665" spans="1:9" x14ac:dyDescent="0.3">
      <c r="A665" s="30" t="s">
        <v>739</v>
      </c>
      <c r="B665" s="31" t="s">
        <v>165</v>
      </c>
      <c r="C665" s="47" t="s">
        <v>621</v>
      </c>
      <c r="D665" s="31" t="s">
        <v>963</v>
      </c>
      <c r="E665" s="32" t="s">
        <v>620</v>
      </c>
      <c r="F665" s="32" t="s">
        <v>626</v>
      </c>
      <c r="G665" s="32" t="s">
        <v>1074</v>
      </c>
      <c r="H665" s="32"/>
      <c r="I665" s="48"/>
    </row>
    <row r="666" spans="1:9" x14ac:dyDescent="0.3">
      <c r="A666" s="34"/>
      <c r="B666" s="35"/>
      <c r="C666" s="28"/>
      <c r="D666" s="35"/>
      <c r="E666" s="25" t="s">
        <v>652</v>
      </c>
      <c r="F666" s="25" t="s">
        <v>1075</v>
      </c>
      <c r="G666" s="25" t="s">
        <v>499</v>
      </c>
      <c r="H666" s="25">
        <v>80</v>
      </c>
      <c r="I666" s="49">
        <v>39</v>
      </c>
    </row>
    <row r="667" spans="1:9" x14ac:dyDescent="0.3">
      <c r="A667" s="34"/>
      <c r="B667" s="35"/>
      <c r="C667" s="28"/>
      <c r="D667" s="35"/>
      <c r="E667" s="25" t="s">
        <v>630</v>
      </c>
      <c r="F667" s="25" t="s">
        <v>1075</v>
      </c>
      <c r="G667" s="25" t="s">
        <v>366</v>
      </c>
      <c r="H667" s="25">
        <v>55</v>
      </c>
      <c r="I667" s="49">
        <v>27</v>
      </c>
    </row>
    <row r="668" spans="1:9" x14ac:dyDescent="0.3">
      <c r="A668" s="34"/>
      <c r="B668" s="35"/>
      <c r="C668" s="28"/>
      <c r="D668" s="35"/>
      <c r="E668" s="25" t="s">
        <v>634</v>
      </c>
      <c r="F668" s="25" t="s">
        <v>1075</v>
      </c>
      <c r="G668" s="25" t="s">
        <v>163</v>
      </c>
      <c r="H668" s="25">
        <v>24</v>
      </c>
      <c r="I668" s="49"/>
    </row>
    <row r="669" spans="1:9" x14ac:dyDescent="0.3">
      <c r="A669" s="34"/>
      <c r="B669" s="35"/>
      <c r="C669" s="28"/>
      <c r="D669" s="35"/>
      <c r="E669" s="25" t="s">
        <v>637</v>
      </c>
      <c r="F669" s="25" t="s">
        <v>626</v>
      </c>
      <c r="G669" s="25" t="s">
        <v>1074</v>
      </c>
      <c r="H669" s="25"/>
      <c r="I669" s="49"/>
    </row>
    <row r="670" spans="1:9" ht="15" thickBot="1" x14ac:dyDescent="0.35">
      <c r="A670" s="38"/>
      <c r="B670" s="40"/>
      <c r="C670" s="50"/>
      <c r="D670" s="40"/>
      <c r="E670" s="39" t="s">
        <v>640</v>
      </c>
      <c r="F670" s="25" t="s">
        <v>626</v>
      </c>
      <c r="G670" s="25" t="s">
        <v>1074</v>
      </c>
      <c r="H670" s="39"/>
      <c r="I670" s="51"/>
    </row>
    <row r="671" spans="1:9" x14ac:dyDescent="0.3">
      <c r="A671" s="30" t="s">
        <v>760</v>
      </c>
      <c r="B671" s="31" t="s">
        <v>153</v>
      </c>
      <c r="C671" s="47" t="s">
        <v>621</v>
      </c>
      <c r="D671" s="31" t="s">
        <v>1030</v>
      </c>
      <c r="E671" s="32" t="s">
        <v>620</v>
      </c>
      <c r="F671" s="32" t="s">
        <v>626</v>
      </c>
      <c r="G671" s="32" t="s">
        <v>1105</v>
      </c>
      <c r="H671" s="32"/>
      <c r="I671" s="48"/>
    </row>
    <row r="672" spans="1:9" x14ac:dyDescent="0.3">
      <c r="A672" s="34"/>
      <c r="B672" s="35"/>
      <c r="C672" s="28"/>
      <c r="D672" s="35"/>
      <c r="E672" s="25" t="s">
        <v>652</v>
      </c>
      <c r="F672" s="25" t="s">
        <v>1075</v>
      </c>
      <c r="G672" s="25" t="s">
        <v>240</v>
      </c>
      <c r="H672" s="25">
        <v>35</v>
      </c>
      <c r="I672" s="49"/>
    </row>
    <row r="673" spans="1:9" x14ac:dyDescent="0.3">
      <c r="A673" s="34"/>
      <c r="B673" s="35"/>
      <c r="C673" s="28"/>
      <c r="D673" s="35"/>
      <c r="E673" s="25" t="s">
        <v>630</v>
      </c>
      <c r="F673" s="25" t="s">
        <v>1075</v>
      </c>
      <c r="G673" s="25" t="s">
        <v>145</v>
      </c>
      <c r="H673" s="25">
        <v>22</v>
      </c>
      <c r="I673" s="49">
        <v>11</v>
      </c>
    </row>
    <row r="674" spans="1:9" ht="15" thickBot="1" x14ac:dyDescent="0.35">
      <c r="A674" s="38"/>
      <c r="B674" s="40"/>
      <c r="C674" s="50"/>
      <c r="D674" s="40"/>
      <c r="E674" s="39" t="s">
        <v>634</v>
      </c>
      <c r="F674" s="39" t="s">
        <v>1075</v>
      </c>
      <c r="G674" s="39" t="s">
        <v>156</v>
      </c>
      <c r="H674" s="39">
        <v>23</v>
      </c>
      <c r="I674" s="51">
        <v>12</v>
      </c>
    </row>
    <row r="675" spans="1:9" x14ac:dyDescent="0.3">
      <c r="A675" s="30" t="s">
        <v>760</v>
      </c>
      <c r="B675" s="31" t="s">
        <v>137</v>
      </c>
      <c r="C675" s="47" t="s">
        <v>621</v>
      </c>
      <c r="D675" s="31" t="s">
        <v>759</v>
      </c>
      <c r="E675" s="32" t="s">
        <v>620</v>
      </c>
      <c r="F675" s="32" t="s">
        <v>626</v>
      </c>
      <c r="G675" s="32" t="s">
        <v>1074</v>
      </c>
      <c r="H675" s="32"/>
      <c r="I675" s="48"/>
    </row>
    <row r="676" spans="1:9" x14ac:dyDescent="0.3">
      <c r="A676" s="34"/>
      <c r="B676" s="35"/>
      <c r="C676" s="28"/>
      <c r="D676" s="35"/>
      <c r="E676" s="25" t="s">
        <v>652</v>
      </c>
      <c r="F676" s="25" t="s">
        <v>1075</v>
      </c>
      <c r="G676" s="25" t="s">
        <v>225</v>
      </c>
      <c r="H676" s="25">
        <v>32</v>
      </c>
      <c r="I676" s="49"/>
    </row>
    <row r="677" spans="1:9" x14ac:dyDescent="0.3">
      <c r="A677" s="34"/>
      <c r="B677" s="35"/>
      <c r="C677" s="28"/>
      <c r="D677" s="35"/>
      <c r="E677" s="25" t="s">
        <v>630</v>
      </c>
      <c r="F677" s="25" t="s">
        <v>1075</v>
      </c>
      <c r="G677" s="25" t="s">
        <v>131</v>
      </c>
      <c r="H677" s="25">
        <v>20</v>
      </c>
      <c r="I677" s="49"/>
    </row>
    <row r="678" spans="1:9" x14ac:dyDescent="0.3">
      <c r="A678" s="34"/>
      <c r="B678" s="35"/>
      <c r="C678" s="28"/>
      <c r="D678" s="35"/>
      <c r="E678" s="25" t="s">
        <v>634</v>
      </c>
      <c r="F678" s="25" t="s">
        <v>1075</v>
      </c>
      <c r="G678" s="25" t="s">
        <v>585</v>
      </c>
      <c r="H678" s="25">
        <v>100</v>
      </c>
      <c r="I678" s="49"/>
    </row>
    <row r="679" spans="1:9" x14ac:dyDescent="0.3">
      <c r="A679" s="34"/>
      <c r="B679" s="35"/>
      <c r="C679" s="28"/>
      <c r="D679" s="35"/>
      <c r="E679" s="25" t="s">
        <v>637</v>
      </c>
      <c r="F679" s="25" t="s">
        <v>626</v>
      </c>
      <c r="G679" s="25" t="s">
        <v>1074</v>
      </c>
      <c r="H679" s="25"/>
      <c r="I679" s="49"/>
    </row>
    <row r="680" spans="1:9" ht="15" thickBot="1" x14ac:dyDescent="0.35">
      <c r="A680" s="38"/>
      <c r="B680" s="40"/>
      <c r="C680" s="50"/>
      <c r="D680" s="40"/>
      <c r="E680" s="39" t="s">
        <v>640</v>
      </c>
      <c r="F680" s="39" t="s">
        <v>1075</v>
      </c>
      <c r="G680" s="39" t="s">
        <v>275</v>
      </c>
      <c r="H680" s="39">
        <v>44</v>
      </c>
      <c r="I680" s="51">
        <v>20</v>
      </c>
    </row>
    <row r="681" spans="1:9" x14ac:dyDescent="0.3">
      <c r="A681" s="30" t="s">
        <v>760</v>
      </c>
      <c r="B681" s="31" t="s">
        <v>126</v>
      </c>
      <c r="C681" s="47" t="s">
        <v>621</v>
      </c>
      <c r="D681" s="31" t="s">
        <v>770</v>
      </c>
      <c r="E681" s="32" t="s">
        <v>620</v>
      </c>
      <c r="F681" s="32" t="s">
        <v>626</v>
      </c>
      <c r="G681" s="32" t="s">
        <v>1074</v>
      </c>
      <c r="H681" s="32"/>
      <c r="I681" s="48"/>
    </row>
    <row r="682" spans="1:9" x14ac:dyDescent="0.3">
      <c r="A682" s="34"/>
      <c r="B682" s="35"/>
      <c r="C682" s="28"/>
      <c r="D682" s="35"/>
      <c r="E682" s="25" t="s">
        <v>652</v>
      </c>
      <c r="F682" s="25" t="s">
        <v>1075</v>
      </c>
      <c r="G682" s="25" t="s">
        <v>581</v>
      </c>
      <c r="H682" s="25">
        <v>99</v>
      </c>
      <c r="I682" s="49"/>
    </row>
    <row r="683" spans="1:9" x14ac:dyDescent="0.3">
      <c r="A683" s="34"/>
      <c r="B683" s="35"/>
      <c r="C683" s="28"/>
      <c r="D683" s="35"/>
      <c r="E683" s="25" t="s">
        <v>630</v>
      </c>
      <c r="F683" s="25" t="s">
        <v>1075</v>
      </c>
      <c r="G683" s="25" t="s">
        <v>282</v>
      </c>
      <c r="H683" s="25">
        <v>45</v>
      </c>
      <c r="I683" s="49">
        <v>21</v>
      </c>
    </row>
    <row r="684" spans="1:9" x14ac:dyDescent="0.3">
      <c r="A684" s="34"/>
      <c r="B684" s="35"/>
      <c r="C684" s="28"/>
      <c r="D684" s="35"/>
      <c r="E684" s="25" t="s">
        <v>634</v>
      </c>
      <c r="F684" s="25" t="s">
        <v>1075</v>
      </c>
      <c r="G684" s="25" t="s">
        <v>219</v>
      </c>
      <c r="H684" s="25">
        <v>31</v>
      </c>
      <c r="I684" s="49"/>
    </row>
    <row r="685" spans="1:9" x14ac:dyDescent="0.3">
      <c r="A685" s="34"/>
      <c r="B685" s="35"/>
      <c r="C685" s="28"/>
      <c r="D685" s="35"/>
      <c r="E685" s="25" t="s">
        <v>637</v>
      </c>
      <c r="F685" s="25" t="s">
        <v>1075</v>
      </c>
      <c r="G685" s="25" t="s">
        <v>123</v>
      </c>
      <c r="H685" s="25">
        <v>19</v>
      </c>
      <c r="I685" s="49"/>
    </row>
    <row r="686" spans="1:9" ht="15" thickBot="1" x14ac:dyDescent="0.35">
      <c r="A686" s="38"/>
      <c r="B686" s="40"/>
      <c r="C686" s="50"/>
      <c r="D686" s="40"/>
      <c r="E686" s="39" t="s">
        <v>640</v>
      </c>
      <c r="F686" s="25" t="s">
        <v>626</v>
      </c>
      <c r="G686" s="25" t="s">
        <v>1074</v>
      </c>
      <c r="H686" s="39"/>
      <c r="I686" s="51"/>
    </row>
    <row r="687" spans="1:9" x14ac:dyDescent="0.3">
      <c r="A687" s="30" t="s">
        <v>735</v>
      </c>
      <c r="B687" s="31" t="s">
        <v>49</v>
      </c>
      <c r="C687" s="47" t="s">
        <v>621</v>
      </c>
      <c r="D687" s="31" t="s">
        <v>734</v>
      </c>
      <c r="E687" s="32" t="s">
        <v>620</v>
      </c>
      <c r="F687" s="32" t="s">
        <v>626</v>
      </c>
      <c r="G687" s="32" t="s">
        <v>1074</v>
      </c>
      <c r="H687" s="32"/>
      <c r="I687" s="48"/>
    </row>
    <row r="688" spans="1:9" x14ac:dyDescent="0.3">
      <c r="A688" s="34"/>
      <c r="B688" s="35"/>
      <c r="C688" s="28"/>
      <c r="D688" s="35"/>
      <c r="E688" s="25" t="s">
        <v>652</v>
      </c>
      <c r="F688" s="25" t="s">
        <v>1075</v>
      </c>
      <c r="G688" s="25" t="s">
        <v>38</v>
      </c>
      <c r="H688" s="25">
        <v>2</v>
      </c>
      <c r="I688" s="49"/>
    </row>
    <row r="689" spans="1:9" x14ac:dyDescent="0.3">
      <c r="A689" s="34"/>
      <c r="B689" s="35"/>
      <c r="C689" s="28"/>
      <c r="D689" s="35"/>
      <c r="E689" s="25" t="s">
        <v>630</v>
      </c>
      <c r="F689" s="25" t="s">
        <v>1075</v>
      </c>
      <c r="G689" s="25" t="s">
        <v>385</v>
      </c>
      <c r="H689" s="25">
        <v>58</v>
      </c>
      <c r="I689" s="49"/>
    </row>
    <row r="690" spans="1:9" ht="15" thickBot="1" x14ac:dyDescent="0.35">
      <c r="A690" s="38"/>
      <c r="B690" s="40"/>
      <c r="C690" s="50"/>
      <c r="D690" s="40"/>
      <c r="E690" s="39" t="s">
        <v>634</v>
      </c>
      <c r="F690" s="39" t="s">
        <v>1075</v>
      </c>
      <c r="G690" s="39" t="s">
        <v>433</v>
      </c>
      <c r="H690" s="39">
        <v>70</v>
      </c>
      <c r="I690" s="51">
        <v>33</v>
      </c>
    </row>
    <row r="691" spans="1:9" x14ac:dyDescent="0.3">
      <c r="A691" s="30" t="s">
        <v>735</v>
      </c>
      <c r="B691" s="31" t="s">
        <v>26</v>
      </c>
      <c r="C691" s="47" t="s">
        <v>621</v>
      </c>
      <c r="D691" s="31" t="s">
        <v>748</v>
      </c>
      <c r="E691" s="32" t="s">
        <v>620</v>
      </c>
      <c r="F691" s="32" t="s">
        <v>626</v>
      </c>
      <c r="G691" s="32" t="s">
        <v>1074</v>
      </c>
      <c r="H691" s="32"/>
      <c r="I691" s="48"/>
    </row>
    <row r="692" spans="1:9" x14ac:dyDescent="0.3">
      <c r="A692" s="34"/>
      <c r="B692" s="35"/>
      <c r="C692" s="28"/>
      <c r="D692" s="35"/>
      <c r="E692" s="25" t="s">
        <v>652</v>
      </c>
      <c r="F692" s="25" t="s">
        <v>1075</v>
      </c>
      <c r="G692" s="25" t="s">
        <v>380</v>
      </c>
      <c r="H692" s="25">
        <v>57</v>
      </c>
      <c r="I692" s="49">
        <v>29</v>
      </c>
    </row>
    <row r="693" spans="1:9" x14ac:dyDescent="0.3">
      <c r="A693" s="34"/>
      <c r="B693" s="35"/>
      <c r="C693" s="28"/>
      <c r="D693" s="35"/>
      <c r="E693" s="25" t="s">
        <v>630</v>
      </c>
      <c r="F693" s="25" t="s">
        <v>1075</v>
      </c>
      <c r="G693" s="25" t="s">
        <v>440</v>
      </c>
      <c r="H693" s="25">
        <v>71</v>
      </c>
      <c r="I693" s="49">
        <v>34</v>
      </c>
    </row>
    <row r="694" spans="1:9" ht="15" thickBot="1" x14ac:dyDescent="0.35">
      <c r="A694" s="38"/>
      <c r="B694" s="40"/>
      <c r="C694" s="50"/>
      <c r="D694" s="40"/>
      <c r="E694" s="39" t="s">
        <v>634</v>
      </c>
      <c r="F694" s="39" t="s">
        <v>1075</v>
      </c>
      <c r="G694" s="39" t="s">
        <v>23</v>
      </c>
      <c r="H694" s="39">
        <v>1</v>
      </c>
      <c r="I694" s="51"/>
    </row>
    <row r="695" spans="1:9" x14ac:dyDescent="0.3">
      <c r="A695" s="30" t="s">
        <v>621</v>
      </c>
      <c r="B695" s="31" t="s">
        <v>256</v>
      </c>
      <c r="C695" s="47" t="s">
        <v>621</v>
      </c>
      <c r="D695" s="31" t="s">
        <v>651</v>
      </c>
      <c r="E695" s="32" t="s">
        <v>620</v>
      </c>
      <c r="F695" s="32" t="s">
        <v>626</v>
      </c>
      <c r="G695" s="32" t="s">
        <v>1074</v>
      </c>
      <c r="H695" s="32"/>
      <c r="I695" s="48"/>
    </row>
    <row r="696" spans="1:9" x14ac:dyDescent="0.3">
      <c r="A696" s="34"/>
      <c r="B696" s="35"/>
      <c r="C696" s="28"/>
      <c r="D696" s="35"/>
      <c r="E696" s="25" t="s">
        <v>652</v>
      </c>
      <c r="F696" s="25" t="s">
        <v>1075</v>
      </c>
      <c r="G696" s="25" t="s">
        <v>492</v>
      </c>
      <c r="H696" s="25">
        <v>79</v>
      </c>
      <c r="I696" s="49">
        <v>38</v>
      </c>
    </row>
    <row r="697" spans="1:9" x14ac:dyDescent="0.3">
      <c r="A697" s="34"/>
      <c r="B697" s="35"/>
      <c r="C697" s="28"/>
      <c r="D697" s="35"/>
      <c r="E697" s="25" t="s">
        <v>630</v>
      </c>
      <c r="F697" s="25" t="s">
        <v>626</v>
      </c>
      <c r="G697" s="25" t="s">
        <v>1074</v>
      </c>
      <c r="H697" s="25"/>
      <c r="I697" s="49"/>
    </row>
    <row r="698" spans="1:9" x14ac:dyDescent="0.3">
      <c r="A698" s="34"/>
      <c r="B698" s="35"/>
      <c r="C698" s="28"/>
      <c r="D698" s="35"/>
      <c r="E698" s="25" t="s">
        <v>634</v>
      </c>
      <c r="F698" s="25" t="s">
        <v>1075</v>
      </c>
      <c r="G698" s="25" t="s">
        <v>253</v>
      </c>
      <c r="H698" s="25">
        <v>40</v>
      </c>
      <c r="I698" s="49"/>
    </row>
    <row r="699" spans="1:9" x14ac:dyDescent="0.3">
      <c r="A699" s="34"/>
      <c r="B699" s="35"/>
      <c r="C699" s="28"/>
      <c r="D699" s="35"/>
      <c r="E699" s="25" t="s">
        <v>637</v>
      </c>
      <c r="F699" s="25" t="s">
        <v>1075</v>
      </c>
      <c r="G699" s="25" t="s">
        <v>557</v>
      </c>
      <c r="H699" s="25">
        <v>94</v>
      </c>
      <c r="I699" s="49"/>
    </row>
    <row r="700" spans="1:9" ht="15" thickBot="1" x14ac:dyDescent="0.35">
      <c r="A700" s="38"/>
      <c r="B700" s="40"/>
      <c r="C700" s="50"/>
      <c r="D700" s="40"/>
      <c r="E700" s="39" t="s">
        <v>640</v>
      </c>
      <c r="F700" s="25" t="s">
        <v>626</v>
      </c>
      <c r="G700" s="25" t="s">
        <v>1074</v>
      </c>
      <c r="H700" s="39"/>
      <c r="I700" s="51"/>
    </row>
    <row r="701" spans="1:9" x14ac:dyDescent="0.3">
      <c r="A701" s="30" t="s">
        <v>621</v>
      </c>
      <c r="B701" s="31" t="s">
        <v>82</v>
      </c>
      <c r="C701" s="47" t="s">
        <v>621</v>
      </c>
      <c r="D701" s="31" t="s">
        <v>860</v>
      </c>
      <c r="E701" s="32" t="s">
        <v>620</v>
      </c>
      <c r="F701" s="32" t="s">
        <v>626</v>
      </c>
      <c r="G701" s="32" t="s">
        <v>1074</v>
      </c>
      <c r="H701" s="32"/>
      <c r="I701" s="48"/>
    </row>
    <row r="702" spans="1:9" x14ac:dyDescent="0.3">
      <c r="A702" s="34"/>
      <c r="B702" s="35"/>
      <c r="C702" s="28"/>
      <c r="D702" s="35"/>
      <c r="E702" s="25" t="s">
        <v>652</v>
      </c>
      <c r="F702" s="25" t="s">
        <v>1075</v>
      </c>
      <c r="G702" s="25" t="s">
        <v>309</v>
      </c>
      <c r="H702" s="25">
        <v>48</v>
      </c>
      <c r="I702" s="49">
        <v>24</v>
      </c>
    </row>
    <row r="703" spans="1:9" x14ac:dyDescent="0.3">
      <c r="A703" s="34"/>
      <c r="B703" s="35"/>
      <c r="C703" s="28"/>
      <c r="D703" s="35"/>
      <c r="E703" s="25" t="s">
        <v>630</v>
      </c>
      <c r="F703" s="25" t="s">
        <v>626</v>
      </c>
      <c r="G703" s="25" t="s">
        <v>1074</v>
      </c>
      <c r="H703" s="25"/>
      <c r="I703" s="49"/>
    </row>
    <row r="704" spans="1:9" x14ac:dyDescent="0.3">
      <c r="A704" s="34"/>
      <c r="B704" s="35"/>
      <c r="C704" s="28"/>
      <c r="D704" s="35"/>
      <c r="E704" s="25" t="s">
        <v>634</v>
      </c>
      <c r="F704" s="25" t="s">
        <v>1075</v>
      </c>
      <c r="G704" s="25" t="s">
        <v>440</v>
      </c>
      <c r="H704" s="25">
        <v>71</v>
      </c>
      <c r="I704" s="49">
        <v>34</v>
      </c>
    </row>
    <row r="705" spans="1:9" x14ac:dyDescent="0.3">
      <c r="A705" s="34"/>
      <c r="B705" s="35"/>
      <c r="C705" s="28"/>
      <c r="D705" s="35"/>
      <c r="E705" s="25" t="s">
        <v>637</v>
      </c>
      <c r="F705" s="25" t="s">
        <v>1075</v>
      </c>
      <c r="G705" s="25" t="s">
        <v>74</v>
      </c>
      <c r="H705" s="25">
        <v>5</v>
      </c>
      <c r="I705" s="49"/>
    </row>
    <row r="706" spans="1:9" ht="15" thickBot="1" x14ac:dyDescent="0.35">
      <c r="A706" s="38"/>
      <c r="B706" s="40"/>
      <c r="C706" s="50"/>
      <c r="D706" s="40"/>
      <c r="E706" s="39" t="s">
        <v>640</v>
      </c>
      <c r="F706" s="25" t="s">
        <v>626</v>
      </c>
      <c r="G706" s="25" t="s">
        <v>1074</v>
      </c>
      <c r="H706" s="39"/>
      <c r="I706" s="51"/>
    </row>
    <row r="707" spans="1:9" x14ac:dyDescent="0.3">
      <c r="A707" s="30" t="s">
        <v>621</v>
      </c>
      <c r="B707" s="31" t="s">
        <v>129</v>
      </c>
      <c r="C707" s="47" t="s">
        <v>621</v>
      </c>
      <c r="D707" s="31" t="s">
        <v>866</v>
      </c>
      <c r="E707" s="32" t="s">
        <v>620</v>
      </c>
      <c r="F707" s="32" t="s">
        <v>626</v>
      </c>
      <c r="G707" s="32" t="s">
        <v>1074</v>
      </c>
      <c r="H707" s="32"/>
      <c r="I707" s="48"/>
    </row>
    <row r="708" spans="1:9" x14ac:dyDescent="0.3">
      <c r="A708" s="34"/>
      <c r="B708" s="35"/>
      <c r="C708" s="28"/>
      <c r="D708" s="35"/>
      <c r="E708" s="25" t="s">
        <v>652</v>
      </c>
      <c r="F708" s="25" t="s">
        <v>1075</v>
      </c>
      <c r="G708" s="25" t="s">
        <v>300</v>
      </c>
      <c r="H708" s="25">
        <v>47</v>
      </c>
      <c r="I708" s="49">
        <v>23</v>
      </c>
    </row>
    <row r="709" spans="1:9" x14ac:dyDescent="0.3">
      <c r="A709" s="34"/>
      <c r="B709" s="35"/>
      <c r="C709" s="28"/>
      <c r="D709" s="35"/>
      <c r="E709" s="25" t="s">
        <v>630</v>
      </c>
      <c r="F709" s="25" t="s">
        <v>626</v>
      </c>
      <c r="G709" s="25" t="s">
        <v>1074</v>
      </c>
      <c r="H709" s="25"/>
      <c r="I709" s="49"/>
    </row>
    <row r="710" spans="1:9" x14ac:dyDescent="0.3">
      <c r="A710" s="34"/>
      <c r="B710" s="35"/>
      <c r="C710" s="28"/>
      <c r="D710" s="35"/>
      <c r="E710" s="25" t="s">
        <v>634</v>
      </c>
      <c r="F710" s="25" t="s">
        <v>1075</v>
      </c>
      <c r="G710" s="25" t="s">
        <v>433</v>
      </c>
      <c r="H710" s="25">
        <v>70</v>
      </c>
      <c r="I710" s="49">
        <v>33</v>
      </c>
    </row>
    <row r="711" spans="1:9" x14ac:dyDescent="0.3">
      <c r="A711" s="34"/>
      <c r="B711" s="35"/>
      <c r="C711" s="28"/>
      <c r="D711" s="35"/>
      <c r="E711" s="25" t="s">
        <v>637</v>
      </c>
      <c r="F711" s="25" t="s">
        <v>1075</v>
      </c>
      <c r="G711" s="25" t="s">
        <v>123</v>
      </c>
      <c r="H711" s="25">
        <v>19</v>
      </c>
      <c r="I711" s="49"/>
    </row>
    <row r="712" spans="1:9" ht="15" thickBot="1" x14ac:dyDescent="0.35">
      <c r="A712" s="38"/>
      <c r="B712" s="40"/>
      <c r="C712" s="50"/>
      <c r="D712" s="40"/>
      <c r="E712" s="39" t="s">
        <v>640</v>
      </c>
      <c r="F712" s="25" t="s">
        <v>626</v>
      </c>
      <c r="G712" s="25" t="s">
        <v>1074</v>
      </c>
      <c r="H712" s="39"/>
      <c r="I712" s="51"/>
    </row>
    <row r="713" spans="1:9" x14ac:dyDescent="0.3">
      <c r="A713" s="30" t="s">
        <v>621</v>
      </c>
      <c r="B713" s="31" t="s">
        <v>100</v>
      </c>
      <c r="C713" s="47" t="s">
        <v>621</v>
      </c>
      <c r="D713" s="31" t="s">
        <v>870</v>
      </c>
      <c r="E713" s="32" t="s">
        <v>620</v>
      </c>
      <c r="F713" s="32" t="s">
        <v>626</v>
      </c>
      <c r="G713" s="32" t="s">
        <v>1074</v>
      </c>
      <c r="H713" s="32"/>
      <c r="I713" s="48"/>
    </row>
    <row r="714" spans="1:9" x14ac:dyDescent="0.3">
      <c r="A714" s="34"/>
      <c r="B714" s="35"/>
      <c r="C714" s="28"/>
      <c r="D714" s="35"/>
      <c r="E714" s="25" t="s">
        <v>652</v>
      </c>
      <c r="F714" s="25" t="s">
        <v>1075</v>
      </c>
      <c r="G714" s="25" t="s">
        <v>195</v>
      </c>
      <c r="H714" s="25">
        <v>28</v>
      </c>
      <c r="I714" s="49">
        <v>15</v>
      </c>
    </row>
    <row r="715" spans="1:9" x14ac:dyDescent="0.3">
      <c r="A715" s="34"/>
      <c r="B715" s="35"/>
      <c r="C715" s="28"/>
      <c r="D715" s="35"/>
      <c r="E715" s="25" t="s">
        <v>630</v>
      </c>
      <c r="F715" s="25" t="s">
        <v>626</v>
      </c>
      <c r="G715" s="25" t="s">
        <v>1074</v>
      </c>
      <c r="H715" s="25"/>
      <c r="I715" s="49"/>
    </row>
    <row r="716" spans="1:9" x14ac:dyDescent="0.3">
      <c r="A716" s="34"/>
      <c r="B716" s="35"/>
      <c r="C716" s="28"/>
      <c r="D716" s="35"/>
      <c r="E716" s="25" t="s">
        <v>634</v>
      </c>
      <c r="F716" s="25" t="s">
        <v>1075</v>
      </c>
      <c r="G716" s="25" t="s">
        <v>427</v>
      </c>
      <c r="H716" s="25">
        <v>69</v>
      </c>
      <c r="I716" s="49"/>
    </row>
    <row r="717" spans="1:9" x14ac:dyDescent="0.3">
      <c r="A717" s="34"/>
      <c r="B717" s="35"/>
      <c r="C717" s="28"/>
      <c r="D717" s="35"/>
      <c r="E717" s="25" t="s">
        <v>637</v>
      </c>
      <c r="F717" s="25" t="s">
        <v>1075</v>
      </c>
      <c r="G717" s="25" t="s">
        <v>95</v>
      </c>
      <c r="H717" s="25">
        <v>7</v>
      </c>
      <c r="I717" s="49"/>
    </row>
    <row r="718" spans="1:9" ht="15" thickBot="1" x14ac:dyDescent="0.35">
      <c r="A718" s="38"/>
      <c r="B718" s="40"/>
      <c r="C718" s="50"/>
      <c r="D718" s="40"/>
      <c r="E718" s="39" t="s">
        <v>640</v>
      </c>
      <c r="F718" s="25" t="s">
        <v>626</v>
      </c>
      <c r="G718" s="25" t="s">
        <v>1074</v>
      </c>
      <c r="H718" s="39"/>
      <c r="I718" s="51"/>
    </row>
    <row r="719" spans="1:9" x14ac:dyDescent="0.3">
      <c r="A719" s="30" t="s">
        <v>621</v>
      </c>
      <c r="B719" s="31" t="s">
        <v>192</v>
      </c>
      <c r="C719" s="47" t="s">
        <v>621</v>
      </c>
      <c r="D719" s="31" t="s">
        <v>875</v>
      </c>
      <c r="E719" s="32" t="s">
        <v>620</v>
      </c>
      <c r="F719" s="32" t="s">
        <v>626</v>
      </c>
      <c r="G719" s="32" t="s">
        <v>1074</v>
      </c>
      <c r="H719" s="32"/>
      <c r="I719" s="48"/>
    </row>
    <row r="720" spans="1:9" x14ac:dyDescent="0.3">
      <c r="A720" s="34"/>
      <c r="B720" s="35"/>
      <c r="C720" s="28"/>
      <c r="D720" s="35"/>
      <c r="E720" s="25" t="s">
        <v>652</v>
      </c>
      <c r="F720" s="25" t="s">
        <v>1075</v>
      </c>
      <c r="G720" s="25" t="s">
        <v>186</v>
      </c>
      <c r="H720" s="25">
        <v>27</v>
      </c>
      <c r="I720" s="49">
        <v>14</v>
      </c>
    </row>
    <row r="721" spans="1:9" x14ac:dyDescent="0.3">
      <c r="A721" s="34"/>
      <c r="B721" s="35"/>
      <c r="C721" s="28"/>
      <c r="D721" s="35"/>
      <c r="E721" s="25" t="s">
        <v>630</v>
      </c>
      <c r="F721" s="25" t="s">
        <v>626</v>
      </c>
      <c r="G721" s="25" t="s">
        <v>1074</v>
      </c>
      <c r="H721" s="25"/>
      <c r="I721" s="49"/>
    </row>
    <row r="722" spans="1:9" x14ac:dyDescent="0.3">
      <c r="A722" s="34"/>
      <c r="B722" s="35"/>
      <c r="C722" s="28"/>
      <c r="D722" s="35"/>
      <c r="E722" s="25" t="s">
        <v>634</v>
      </c>
      <c r="F722" s="25" t="s">
        <v>1075</v>
      </c>
      <c r="G722" s="25" t="s">
        <v>231</v>
      </c>
      <c r="H722" s="25">
        <v>33</v>
      </c>
      <c r="I722" s="49">
        <v>18</v>
      </c>
    </row>
    <row r="723" spans="1:9" x14ac:dyDescent="0.3">
      <c r="A723" s="34"/>
      <c r="B723" s="35"/>
      <c r="C723" s="28"/>
      <c r="D723" s="35"/>
      <c r="E723" s="25" t="s">
        <v>637</v>
      </c>
      <c r="F723" s="25" t="s">
        <v>626</v>
      </c>
      <c r="G723" s="25" t="s">
        <v>1074</v>
      </c>
      <c r="H723" s="25"/>
      <c r="I723" s="49"/>
    </row>
    <row r="724" spans="1:9" ht="15" thickBot="1" x14ac:dyDescent="0.35">
      <c r="A724" s="38"/>
      <c r="B724" s="40"/>
      <c r="C724" s="50"/>
      <c r="D724" s="40"/>
      <c r="E724" s="39" t="s">
        <v>640</v>
      </c>
      <c r="F724" s="25" t="s">
        <v>626</v>
      </c>
      <c r="G724" s="25" t="s">
        <v>1074</v>
      </c>
      <c r="H724" s="39"/>
      <c r="I724" s="51"/>
    </row>
    <row r="725" spans="1:9" x14ac:dyDescent="0.3">
      <c r="A725" s="30" t="s">
        <v>621</v>
      </c>
      <c r="B725" s="31" t="s">
        <v>46</v>
      </c>
      <c r="C725" s="47" t="s">
        <v>621</v>
      </c>
      <c r="D725" s="31" t="s">
        <v>881</v>
      </c>
      <c r="E725" s="32" t="s">
        <v>620</v>
      </c>
      <c r="F725" s="32" t="s">
        <v>626</v>
      </c>
      <c r="G725" s="32" t="s">
        <v>1074</v>
      </c>
      <c r="H725" s="32"/>
      <c r="I725" s="48"/>
    </row>
    <row r="726" spans="1:9" x14ac:dyDescent="0.3">
      <c r="A726" s="34"/>
      <c r="B726" s="35"/>
      <c r="C726" s="28"/>
      <c r="D726" s="35"/>
      <c r="E726" s="25" t="s">
        <v>652</v>
      </c>
      <c r="F726" s="25" t="s">
        <v>1075</v>
      </c>
      <c r="G726" s="25" t="s">
        <v>478</v>
      </c>
      <c r="H726" s="25">
        <v>77</v>
      </c>
      <c r="I726" s="49"/>
    </row>
    <row r="727" spans="1:9" x14ac:dyDescent="0.3">
      <c r="A727" s="34"/>
      <c r="B727" s="35"/>
      <c r="C727" s="28"/>
      <c r="D727" s="35"/>
      <c r="E727" s="25" t="s">
        <v>630</v>
      </c>
      <c r="F727" s="25" t="s">
        <v>626</v>
      </c>
      <c r="G727" s="25" t="s">
        <v>1074</v>
      </c>
      <c r="H727" s="25"/>
      <c r="I727" s="49"/>
    </row>
    <row r="728" spans="1:9" x14ac:dyDescent="0.3">
      <c r="A728" s="34"/>
      <c r="B728" s="35"/>
      <c r="C728" s="28"/>
      <c r="D728" s="35"/>
      <c r="E728" s="25" t="s">
        <v>634</v>
      </c>
      <c r="F728" s="25" t="s">
        <v>1075</v>
      </c>
      <c r="G728" s="25" t="s">
        <v>225</v>
      </c>
      <c r="H728" s="25">
        <v>32</v>
      </c>
      <c r="I728" s="49"/>
    </row>
    <row r="729" spans="1:9" x14ac:dyDescent="0.3">
      <c r="A729" s="34"/>
      <c r="B729" s="35"/>
      <c r="C729" s="28"/>
      <c r="D729" s="35"/>
      <c r="E729" s="25" t="s">
        <v>637</v>
      </c>
      <c r="F729" s="25" t="s">
        <v>1075</v>
      </c>
      <c r="G729" s="25" t="s">
        <v>38</v>
      </c>
      <c r="H729" s="25">
        <v>2</v>
      </c>
      <c r="I729" s="49"/>
    </row>
    <row r="730" spans="1:9" ht="15" thickBot="1" x14ac:dyDescent="0.35">
      <c r="A730" s="38"/>
      <c r="B730" s="40"/>
      <c r="C730" s="50"/>
      <c r="D730" s="40"/>
      <c r="E730" s="39" t="s">
        <v>640</v>
      </c>
      <c r="F730" s="25" t="s">
        <v>626</v>
      </c>
      <c r="G730" s="25" t="s">
        <v>1074</v>
      </c>
      <c r="H730" s="39"/>
      <c r="I730" s="51"/>
    </row>
    <row r="731" spans="1:9" x14ac:dyDescent="0.3">
      <c r="A731" s="30" t="s">
        <v>621</v>
      </c>
      <c r="B731" s="31" t="s">
        <v>33</v>
      </c>
      <c r="C731" s="47" t="s">
        <v>621</v>
      </c>
      <c r="D731" s="31" t="s">
        <v>888</v>
      </c>
      <c r="E731" s="32" t="s">
        <v>620</v>
      </c>
      <c r="F731" s="32" t="s">
        <v>626</v>
      </c>
      <c r="G731" s="32" t="s">
        <v>1074</v>
      </c>
      <c r="H731" s="32"/>
      <c r="I731" s="48"/>
    </row>
    <row r="732" spans="1:9" x14ac:dyDescent="0.3">
      <c r="A732" s="34"/>
      <c r="B732" s="35"/>
      <c r="C732" s="28"/>
      <c r="D732" s="35"/>
      <c r="E732" s="25" t="s">
        <v>652</v>
      </c>
      <c r="F732" s="25" t="s">
        <v>1075</v>
      </c>
      <c r="G732" s="25" t="s">
        <v>471</v>
      </c>
      <c r="H732" s="25">
        <v>76</v>
      </c>
      <c r="I732" s="49"/>
    </row>
    <row r="733" spans="1:9" x14ac:dyDescent="0.3">
      <c r="A733" s="34"/>
      <c r="B733" s="35"/>
      <c r="C733" s="28"/>
      <c r="D733" s="35"/>
      <c r="E733" s="25" t="s">
        <v>630</v>
      </c>
      <c r="F733" s="25" t="s">
        <v>626</v>
      </c>
      <c r="G733" s="25" t="s">
        <v>1074</v>
      </c>
      <c r="H733" s="25"/>
      <c r="I733" s="49"/>
    </row>
    <row r="734" spans="1:9" x14ac:dyDescent="0.3">
      <c r="A734" s="34"/>
      <c r="B734" s="35"/>
      <c r="C734" s="28"/>
      <c r="D734" s="35"/>
      <c r="E734" s="25" t="s">
        <v>634</v>
      </c>
      <c r="F734" s="25" t="s">
        <v>1075</v>
      </c>
      <c r="G734" s="25" t="s">
        <v>219</v>
      </c>
      <c r="H734" s="25">
        <v>31</v>
      </c>
      <c r="I734" s="49"/>
    </row>
    <row r="735" spans="1:9" x14ac:dyDescent="0.3">
      <c r="A735" s="34"/>
      <c r="B735" s="35"/>
      <c r="C735" s="28"/>
      <c r="D735" s="35"/>
      <c r="E735" s="25" t="s">
        <v>637</v>
      </c>
      <c r="F735" s="25" t="s">
        <v>1075</v>
      </c>
      <c r="G735" s="25" t="s">
        <v>23</v>
      </c>
      <c r="H735" s="25">
        <v>1</v>
      </c>
      <c r="I735" s="49"/>
    </row>
    <row r="736" spans="1:9" ht="15" thickBot="1" x14ac:dyDescent="0.35">
      <c r="A736" s="38"/>
      <c r="B736" s="40"/>
      <c r="C736" s="50"/>
      <c r="D736" s="40"/>
      <c r="E736" s="39" t="s">
        <v>640</v>
      </c>
      <c r="F736" s="25" t="s">
        <v>626</v>
      </c>
      <c r="G736" s="25" t="s">
        <v>1074</v>
      </c>
      <c r="H736" s="39"/>
      <c r="I736" s="51"/>
    </row>
    <row r="737" spans="1:9" x14ac:dyDescent="0.3">
      <c r="A737" s="30" t="s">
        <v>621</v>
      </c>
      <c r="B737" s="31" t="s">
        <v>377</v>
      </c>
      <c r="C737" s="47" t="s">
        <v>621</v>
      </c>
      <c r="D737" s="31" t="s">
        <v>757</v>
      </c>
      <c r="E737" s="32" t="s">
        <v>620</v>
      </c>
      <c r="F737" s="32" t="s">
        <v>626</v>
      </c>
      <c r="G737" s="32" t="s">
        <v>1074</v>
      </c>
      <c r="H737" s="32"/>
      <c r="I737" s="48"/>
    </row>
    <row r="738" spans="1:9" x14ac:dyDescent="0.3">
      <c r="A738" s="34"/>
      <c r="B738" s="35"/>
      <c r="C738" s="28"/>
      <c r="D738" s="35"/>
      <c r="E738" s="25" t="s">
        <v>652</v>
      </c>
      <c r="F738" s="25" t="s">
        <v>1075</v>
      </c>
      <c r="G738" s="25" t="s">
        <v>585</v>
      </c>
      <c r="H738" s="25">
        <v>100</v>
      </c>
      <c r="I738" s="49"/>
    </row>
    <row r="739" spans="1:9" x14ac:dyDescent="0.3">
      <c r="A739" s="34"/>
      <c r="B739" s="35"/>
      <c r="C739" s="28"/>
      <c r="D739" s="35"/>
      <c r="E739" s="25" t="s">
        <v>630</v>
      </c>
      <c r="F739" s="25" t="s">
        <v>1075</v>
      </c>
      <c r="G739" s="25" t="s">
        <v>374</v>
      </c>
      <c r="H739" s="25">
        <v>56</v>
      </c>
      <c r="I739" s="49">
        <v>28</v>
      </c>
    </row>
    <row r="740" spans="1:9" x14ac:dyDescent="0.3">
      <c r="A740" s="34"/>
      <c r="B740" s="35"/>
      <c r="C740" s="28"/>
      <c r="D740" s="35"/>
      <c r="E740" s="25" t="s">
        <v>634</v>
      </c>
      <c r="F740" s="25" t="s">
        <v>626</v>
      </c>
      <c r="G740" s="25" t="s">
        <v>1074</v>
      </c>
      <c r="H740" s="25"/>
      <c r="I740" s="49"/>
    </row>
    <row r="741" spans="1:9" ht="15" thickBot="1" x14ac:dyDescent="0.35">
      <c r="A741" s="38"/>
      <c r="B741" s="40"/>
      <c r="C741" s="50"/>
      <c r="D741" s="40"/>
      <c r="E741" s="39" t="s">
        <v>637</v>
      </c>
      <c r="F741" s="25" t="s">
        <v>626</v>
      </c>
      <c r="G741" s="25" t="s">
        <v>1074</v>
      </c>
      <c r="H741" s="39"/>
      <c r="I741" s="51"/>
    </row>
    <row r="742" spans="1:9" x14ac:dyDescent="0.3">
      <c r="A742" s="30" t="s">
        <v>621</v>
      </c>
      <c r="B742" s="31" t="s">
        <v>372</v>
      </c>
      <c r="C742" s="47" t="s">
        <v>621</v>
      </c>
      <c r="D742" s="31" t="s">
        <v>766</v>
      </c>
      <c r="E742" s="32" t="s">
        <v>620</v>
      </c>
      <c r="F742" s="32" t="s">
        <v>626</v>
      </c>
      <c r="G742" s="32" t="s">
        <v>1074</v>
      </c>
      <c r="H742" s="32"/>
      <c r="I742" s="48"/>
    </row>
    <row r="743" spans="1:9" x14ac:dyDescent="0.3">
      <c r="A743" s="34"/>
      <c r="B743" s="35"/>
      <c r="C743" s="28"/>
      <c r="D743" s="35"/>
      <c r="E743" s="25" t="s">
        <v>652</v>
      </c>
      <c r="F743" s="25" t="s">
        <v>1075</v>
      </c>
      <c r="G743" s="25" t="s">
        <v>581</v>
      </c>
      <c r="H743" s="25">
        <v>99</v>
      </c>
      <c r="I743" s="49"/>
    </row>
    <row r="744" spans="1:9" x14ac:dyDescent="0.3">
      <c r="A744" s="34"/>
      <c r="B744" s="35"/>
      <c r="C744" s="28"/>
      <c r="D744" s="35"/>
      <c r="E744" s="25" t="s">
        <v>630</v>
      </c>
      <c r="F744" s="25" t="s">
        <v>1075</v>
      </c>
      <c r="G744" s="25" t="s">
        <v>366</v>
      </c>
      <c r="H744" s="25">
        <v>55</v>
      </c>
      <c r="I744" s="49">
        <v>27</v>
      </c>
    </row>
    <row r="745" spans="1:9" x14ac:dyDescent="0.3">
      <c r="A745" s="34"/>
      <c r="B745" s="35"/>
      <c r="C745" s="28"/>
      <c r="D745" s="35"/>
      <c r="E745" s="25" t="s">
        <v>634</v>
      </c>
      <c r="F745" s="25" t="s">
        <v>626</v>
      </c>
      <c r="G745" s="25" t="s">
        <v>1074</v>
      </c>
      <c r="H745" s="25"/>
      <c r="I745" s="49"/>
    </row>
    <row r="746" spans="1:9" ht="15" thickBot="1" x14ac:dyDescent="0.35">
      <c r="A746" s="38"/>
      <c r="B746" s="40"/>
      <c r="C746" s="50"/>
      <c r="D746" s="40"/>
      <c r="E746" s="39" t="s">
        <v>637</v>
      </c>
      <c r="F746" s="25" t="s">
        <v>626</v>
      </c>
      <c r="G746" s="25" t="s">
        <v>1074</v>
      </c>
      <c r="H746" s="39"/>
      <c r="I746" s="51"/>
    </row>
    <row r="747" spans="1:9" x14ac:dyDescent="0.3">
      <c r="A747" s="30" t="s">
        <v>621</v>
      </c>
      <c r="B747" s="31" t="s">
        <v>347</v>
      </c>
      <c r="C747" s="47" t="s">
        <v>621</v>
      </c>
      <c r="D747" s="31" t="s">
        <v>779</v>
      </c>
      <c r="E747" s="32" t="s">
        <v>620</v>
      </c>
      <c r="F747" s="32" t="s">
        <v>626</v>
      </c>
      <c r="G747" s="32" t="s">
        <v>1074</v>
      </c>
      <c r="H747" s="32"/>
      <c r="I747" s="48"/>
    </row>
    <row r="748" spans="1:9" x14ac:dyDescent="0.3">
      <c r="A748" s="34"/>
      <c r="B748" s="35"/>
      <c r="C748" s="28"/>
      <c r="D748" s="35"/>
      <c r="E748" s="25" t="s">
        <v>652</v>
      </c>
      <c r="F748" s="25" t="s">
        <v>1075</v>
      </c>
      <c r="G748" s="25" t="s">
        <v>548</v>
      </c>
      <c r="H748" s="25">
        <v>92</v>
      </c>
      <c r="I748" s="49">
        <v>44</v>
      </c>
    </row>
    <row r="749" spans="1:9" x14ac:dyDescent="0.3">
      <c r="A749" s="34"/>
      <c r="B749" s="35"/>
      <c r="C749" s="28"/>
      <c r="D749" s="35"/>
      <c r="E749" s="25" t="s">
        <v>630</v>
      </c>
      <c r="F749" s="25" t="s">
        <v>1075</v>
      </c>
      <c r="G749" s="25" t="s">
        <v>341</v>
      </c>
      <c r="H749" s="25">
        <v>52</v>
      </c>
      <c r="I749" s="49"/>
    </row>
    <row r="750" spans="1:9" x14ac:dyDescent="0.3">
      <c r="A750" s="34"/>
      <c r="B750" s="35"/>
      <c r="C750" s="28"/>
      <c r="D750" s="35"/>
      <c r="E750" s="25" t="s">
        <v>634</v>
      </c>
      <c r="F750" s="25" t="s">
        <v>626</v>
      </c>
      <c r="G750" s="25" t="s">
        <v>1074</v>
      </c>
      <c r="H750" s="25"/>
      <c r="I750" s="49"/>
    </row>
    <row r="751" spans="1:9" ht="15" thickBot="1" x14ac:dyDescent="0.35">
      <c r="A751" s="38"/>
      <c r="B751" s="40"/>
      <c r="C751" s="50"/>
      <c r="D751" s="40"/>
      <c r="E751" s="39" t="s">
        <v>637</v>
      </c>
      <c r="F751" s="25" t="s">
        <v>626</v>
      </c>
      <c r="G751" s="25" t="s">
        <v>1074</v>
      </c>
      <c r="H751" s="39"/>
      <c r="I751" s="51"/>
    </row>
    <row r="752" spans="1:9" x14ac:dyDescent="0.3">
      <c r="A752" s="30" t="s">
        <v>621</v>
      </c>
      <c r="B752" s="31" t="s">
        <v>338</v>
      </c>
      <c r="C752" s="47" t="s">
        <v>621</v>
      </c>
      <c r="D752" s="31" t="s">
        <v>785</v>
      </c>
      <c r="E752" s="32" t="s">
        <v>620</v>
      </c>
      <c r="F752" s="32" t="s">
        <v>626</v>
      </c>
      <c r="G752" s="32" t="s">
        <v>1074</v>
      </c>
      <c r="H752" s="32"/>
      <c r="I752" s="48"/>
    </row>
    <row r="753" spans="1:9" x14ac:dyDescent="0.3">
      <c r="A753" s="34"/>
      <c r="B753" s="35"/>
      <c r="C753" s="28"/>
      <c r="D753" s="35"/>
      <c r="E753" s="25" t="s">
        <v>652</v>
      </c>
      <c r="F753" s="25" t="s">
        <v>1075</v>
      </c>
      <c r="G753" s="25" t="s">
        <v>544</v>
      </c>
      <c r="H753" s="25">
        <v>91</v>
      </c>
      <c r="I753" s="49">
        <v>43</v>
      </c>
    </row>
    <row r="754" spans="1:9" x14ac:dyDescent="0.3">
      <c r="A754" s="34"/>
      <c r="B754" s="35"/>
      <c r="C754" s="28"/>
      <c r="D754" s="35"/>
      <c r="E754" s="25" t="s">
        <v>630</v>
      </c>
      <c r="F754" s="25" t="s">
        <v>1075</v>
      </c>
      <c r="G754" s="25" t="s">
        <v>331</v>
      </c>
      <c r="H754" s="25">
        <v>51</v>
      </c>
      <c r="I754" s="49"/>
    </row>
    <row r="755" spans="1:9" x14ac:dyDescent="0.3">
      <c r="A755" s="34"/>
      <c r="B755" s="35"/>
      <c r="C755" s="28"/>
      <c r="D755" s="35"/>
      <c r="E755" s="25" t="s">
        <v>634</v>
      </c>
      <c r="F755" s="25" t="s">
        <v>626</v>
      </c>
      <c r="G755" s="25" t="s">
        <v>1074</v>
      </c>
      <c r="H755" s="25"/>
      <c r="I755" s="49"/>
    </row>
    <row r="756" spans="1:9" ht="15" thickBot="1" x14ac:dyDescent="0.35">
      <c r="A756" s="38"/>
      <c r="B756" s="40"/>
      <c r="C756" s="50"/>
      <c r="D756" s="40"/>
      <c r="E756" s="39" t="s">
        <v>637</v>
      </c>
      <c r="F756" s="25" t="s">
        <v>626</v>
      </c>
      <c r="G756" s="25" t="s">
        <v>1074</v>
      </c>
      <c r="H756" s="39"/>
      <c r="I756" s="51"/>
    </row>
    <row r="757" spans="1:9" x14ac:dyDescent="0.3">
      <c r="A757" s="30" t="s">
        <v>621</v>
      </c>
      <c r="B757" s="31" t="s">
        <v>251</v>
      </c>
      <c r="C757" s="47" t="s">
        <v>621</v>
      </c>
      <c r="D757" s="31" t="s">
        <v>668</v>
      </c>
      <c r="E757" s="32" t="s">
        <v>620</v>
      </c>
      <c r="F757" s="32" t="s">
        <v>626</v>
      </c>
      <c r="G757" s="32" t="s">
        <v>1074</v>
      </c>
      <c r="H757" s="32"/>
      <c r="I757" s="48"/>
    </row>
    <row r="758" spans="1:9" x14ac:dyDescent="0.3">
      <c r="A758" s="34"/>
      <c r="B758" s="35"/>
      <c r="C758" s="28"/>
      <c r="D758" s="35"/>
      <c r="E758" s="25" t="s">
        <v>652</v>
      </c>
      <c r="F758" s="25" t="s">
        <v>1075</v>
      </c>
      <c r="G758" s="25" t="s">
        <v>485</v>
      </c>
      <c r="H758" s="25">
        <v>78</v>
      </c>
      <c r="I758" s="49">
        <v>37</v>
      </c>
    </row>
    <row r="759" spans="1:9" x14ac:dyDescent="0.3">
      <c r="A759" s="34"/>
      <c r="B759" s="35"/>
      <c r="C759" s="28"/>
      <c r="D759" s="35"/>
      <c r="E759" s="25" t="s">
        <v>630</v>
      </c>
      <c r="F759" s="25" t="s">
        <v>626</v>
      </c>
      <c r="G759" s="25" t="s">
        <v>1074</v>
      </c>
      <c r="H759" s="25"/>
      <c r="I759" s="49"/>
    </row>
    <row r="760" spans="1:9" x14ac:dyDescent="0.3">
      <c r="A760" s="34"/>
      <c r="B760" s="35"/>
      <c r="C760" s="28"/>
      <c r="D760" s="35"/>
      <c r="E760" s="25" t="s">
        <v>634</v>
      </c>
      <c r="F760" s="25" t="s">
        <v>1075</v>
      </c>
      <c r="G760" s="25" t="s">
        <v>248</v>
      </c>
      <c r="H760" s="25">
        <v>39</v>
      </c>
      <c r="I760" s="49">
        <v>19</v>
      </c>
    </row>
    <row r="761" spans="1:9" x14ac:dyDescent="0.3">
      <c r="A761" s="34"/>
      <c r="B761" s="35"/>
      <c r="C761" s="28"/>
      <c r="D761" s="35"/>
      <c r="E761" s="25" t="s">
        <v>637</v>
      </c>
      <c r="F761" s="25" t="s">
        <v>1075</v>
      </c>
      <c r="G761" s="25" t="s">
        <v>553</v>
      </c>
      <c r="H761" s="25">
        <v>93</v>
      </c>
      <c r="I761" s="49"/>
    </row>
    <row r="762" spans="1:9" ht="15" thickBot="1" x14ac:dyDescent="0.35">
      <c r="A762" s="38"/>
      <c r="B762" s="40"/>
      <c r="C762" s="50"/>
      <c r="D762" s="40"/>
      <c r="E762" s="39" t="s">
        <v>640</v>
      </c>
      <c r="F762" s="25" t="s">
        <v>626</v>
      </c>
      <c r="G762" s="25" t="s">
        <v>1074</v>
      </c>
      <c r="H762" s="39"/>
      <c r="I762" s="51"/>
    </row>
    <row r="763" spans="1:9" x14ac:dyDescent="0.3">
      <c r="A763" s="30" t="s">
        <v>621</v>
      </c>
      <c r="B763" s="31" t="s">
        <v>329</v>
      </c>
      <c r="C763" s="47" t="s">
        <v>621</v>
      </c>
      <c r="D763" s="31" t="s">
        <v>795</v>
      </c>
      <c r="E763" s="32" t="s">
        <v>620</v>
      </c>
      <c r="F763" s="32" t="s">
        <v>626</v>
      </c>
      <c r="G763" s="32" t="s">
        <v>1074</v>
      </c>
      <c r="H763" s="32"/>
      <c r="I763" s="48"/>
    </row>
    <row r="764" spans="1:9" x14ac:dyDescent="0.3">
      <c r="A764" s="34"/>
      <c r="B764" s="35"/>
      <c r="C764" s="28"/>
      <c r="D764" s="35"/>
      <c r="E764" s="25" t="s">
        <v>652</v>
      </c>
      <c r="F764" s="25" t="s">
        <v>1075</v>
      </c>
      <c r="G764" s="25" t="s">
        <v>539</v>
      </c>
      <c r="H764" s="25">
        <v>90</v>
      </c>
      <c r="I764" s="49">
        <v>42</v>
      </c>
    </row>
    <row r="765" spans="1:9" x14ac:dyDescent="0.3">
      <c r="A765" s="34"/>
      <c r="B765" s="35"/>
      <c r="C765" s="28"/>
      <c r="D765" s="35"/>
      <c r="E765" s="25" t="s">
        <v>630</v>
      </c>
      <c r="F765" s="25" t="s">
        <v>1075</v>
      </c>
      <c r="G765" s="25" t="s">
        <v>324</v>
      </c>
      <c r="H765" s="25">
        <v>50</v>
      </c>
      <c r="I765" s="49"/>
    </row>
    <row r="766" spans="1:9" x14ac:dyDescent="0.3">
      <c r="A766" s="34"/>
      <c r="B766" s="35"/>
      <c r="C766" s="28"/>
      <c r="D766" s="35"/>
      <c r="E766" s="25" t="s">
        <v>634</v>
      </c>
      <c r="F766" s="25" t="s">
        <v>626</v>
      </c>
      <c r="G766" s="25" t="s">
        <v>1074</v>
      </c>
      <c r="H766" s="25"/>
      <c r="I766" s="49"/>
    </row>
    <row r="767" spans="1:9" ht="15" thickBot="1" x14ac:dyDescent="0.35">
      <c r="A767" s="38"/>
      <c r="B767" s="40"/>
      <c r="C767" s="50"/>
      <c r="D767" s="40"/>
      <c r="E767" s="39" t="s">
        <v>637</v>
      </c>
      <c r="F767" s="25" t="s">
        <v>626</v>
      </c>
      <c r="G767" s="25" t="s">
        <v>1074</v>
      </c>
      <c r="H767" s="39"/>
      <c r="I767" s="51"/>
    </row>
    <row r="768" spans="1:9" x14ac:dyDescent="0.3">
      <c r="A768" s="30" t="s">
        <v>621</v>
      </c>
      <c r="B768" s="31" t="s">
        <v>322</v>
      </c>
      <c r="C768" s="47" t="s">
        <v>621</v>
      </c>
      <c r="D768" s="31" t="s">
        <v>803</v>
      </c>
      <c r="E768" s="32" t="s">
        <v>620</v>
      </c>
      <c r="F768" s="32" t="s">
        <v>626</v>
      </c>
      <c r="G768" s="32" t="s">
        <v>1074</v>
      </c>
      <c r="H768" s="32"/>
      <c r="I768" s="48"/>
    </row>
    <row r="769" spans="1:9" x14ac:dyDescent="0.3">
      <c r="A769" s="34"/>
      <c r="B769" s="35"/>
      <c r="C769" s="28"/>
      <c r="D769" s="35"/>
      <c r="E769" s="25" t="s">
        <v>652</v>
      </c>
      <c r="F769" s="25" t="s">
        <v>1075</v>
      </c>
      <c r="G769" s="25" t="s">
        <v>534</v>
      </c>
      <c r="H769" s="25">
        <v>89</v>
      </c>
      <c r="I769" s="49">
        <v>41</v>
      </c>
    </row>
    <row r="770" spans="1:9" x14ac:dyDescent="0.3">
      <c r="A770" s="34"/>
      <c r="B770" s="35"/>
      <c r="C770" s="28"/>
      <c r="D770" s="35"/>
      <c r="E770" s="25" t="s">
        <v>630</v>
      </c>
      <c r="F770" s="25" t="s">
        <v>1075</v>
      </c>
      <c r="G770" s="25" t="s">
        <v>317</v>
      </c>
      <c r="H770" s="25">
        <v>49</v>
      </c>
      <c r="I770" s="49"/>
    </row>
    <row r="771" spans="1:9" x14ac:dyDescent="0.3">
      <c r="A771" s="34"/>
      <c r="B771" s="35"/>
      <c r="C771" s="28"/>
      <c r="D771" s="35"/>
      <c r="E771" s="25" t="s">
        <v>634</v>
      </c>
      <c r="F771" s="25" t="s">
        <v>626</v>
      </c>
      <c r="G771" s="25" t="s">
        <v>1074</v>
      </c>
      <c r="H771" s="25"/>
      <c r="I771" s="49"/>
    </row>
    <row r="772" spans="1:9" ht="15" thickBot="1" x14ac:dyDescent="0.35">
      <c r="A772" s="38"/>
      <c r="B772" s="40"/>
      <c r="C772" s="50"/>
      <c r="D772" s="40"/>
      <c r="E772" s="39" t="s">
        <v>637</v>
      </c>
      <c r="F772" s="25" t="s">
        <v>626</v>
      </c>
      <c r="G772" s="25" t="s">
        <v>1074</v>
      </c>
      <c r="H772" s="39"/>
      <c r="I772" s="51"/>
    </row>
    <row r="773" spans="1:9" x14ac:dyDescent="0.3">
      <c r="A773" s="30" t="s">
        <v>621</v>
      </c>
      <c r="B773" s="31" t="s">
        <v>297</v>
      </c>
      <c r="C773" s="47" t="s">
        <v>621</v>
      </c>
      <c r="D773" s="31" t="s">
        <v>810</v>
      </c>
      <c r="E773" s="32" t="s">
        <v>620</v>
      </c>
      <c r="F773" s="32" t="s">
        <v>626</v>
      </c>
      <c r="G773" s="32" t="s">
        <v>1074</v>
      </c>
      <c r="H773" s="32"/>
      <c r="I773" s="48"/>
    </row>
    <row r="774" spans="1:9" x14ac:dyDescent="0.3">
      <c r="A774" s="34"/>
      <c r="B774" s="35"/>
      <c r="C774" s="28"/>
      <c r="D774" s="35"/>
      <c r="E774" s="25" t="s">
        <v>652</v>
      </c>
      <c r="F774" s="25" t="s">
        <v>1075</v>
      </c>
      <c r="G774" s="25" t="s">
        <v>530</v>
      </c>
      <c r="H774" s="25">
        <v>88</v>
      </c>
      <c r="I774" s="49"/>
    </row>
    <row r="775" spans="1:9" x14ac:dyDescent="0.3">
      <c r="A775" s="34"/>
      <c r="B775" s="35"/>
      <c r="C775" s="28"/>
      <c r="D775" s="35"/>
      <c r="E775" s="25" t="s">
        <v>630</v>
      </c>
      <c r="F775" s="25" t="s">
        <v>1075</v>
      </c>
      <c r="G775" s="25" t="s">
        <v>290</v>
      </c>
      <c r="H775" s="25">
        <v>46</v>
      </c>
      <c r="I775" s="49">
        <v>22</v>
      </c>
    </row>
    <row r="776" spans="1:9" x14ac:dyDescent="0.3">
      <c r="A776" s="34"/>
      <c r="B776" s="35"/>
      <c r="C776" s="28"/>
      <c r="D776" s="35"/>
      <c r="E776" s="25" t="s">
        <v>634</v>
      </c>
      <c r="F776" s="25" t="s">
        <v>626</v>
      </c>
      <c r="G776" s="25" t="s">
        <v>1074</v>
      </c>
      <c r="H776" s="25"/>
      <c r="I776" s="49"/>
    </row>
    <row r="777" spans="1:9" ht="15" thickBot="1" x14ac:dyDescent="0.35">
      <c r="A777" s="38"/>
      <c r="B777" s="40"/>
      <c r="C777" s="50"/>
      <c r="D777" s="40"/>
      <c r="E777" s="39" t="s">
        <v>637</v>
      </c>
      <c r="F777" s="25" t="s">
        <v>626</v>
      </c>
      <c r="G777" s="25" t="s">
        <v>1074</v>
      </c>
      <c r="H777" s="39"/>
      <c r="I777" s="51"/>
    </row>
    <row r="778" spans="1:9" x14ac:dyDescent="0.3">
      <c r="A778" s="30" t="s">
        <v>621</v>
      </c>
      <c r="B778" s="31" t="s">
        <v>288</v>
      </c>
      <c r="C778" s="47" t="s">
        <v>621</v>
      </c>
      <c r="D778" s="31" t="s">
        <v>818</v>
      </c>
      <c r="E778" s="32" t="s">
        <v>620</v>
      </c>
      <c r="F778" s="32" t="s">
        <v>626</v>
      </c>
      <c r="G778" s="32" t="s">
        <v>1074</v>
      </c>
      <c r="H778" s="32"/>
      <c r="I778" s="48"/>
    </row>
    <row r="779" spans="1:9" x14ac:dyDescent="0.3">
      <c r="A779" s="34"/>
      <c r="B779" s="35"/>
      <c r="C779" s="28"/>
      <c r="D779" s="35"/>
      <c r="E779" s="25" t="s">
        <v>652</v>
      </c>
      <c r="F779" s="25" t="s">
        <v>1075</v>
      </c>
      <c r="G779" s="25" t="s">
        <v>516</v>
      </c>
      <c r="H779" s="25">
        <v>83</v>
      </c>
      <c r="I779" s="49"/>
    </row>
    <row r="780" spans="1:9" x14ac:dyDescent="0.3">
      <c r="A780" s="34"/>
      <c r="B780" s="35"/>
      <c r="C780" s="28"/>
      <c r="D780" s="35"/>
      <c r="E780" s="25" t="s">
        <v>630</v>
      </c>
      <c r="F780" s="25" t="s">
        <v>1075</v>
      </c>
      <c r="G780" s="25" t="s">
        <v>282</v>
      </c>
      <c r="H780" s="25">
        <v>45</v>
      </c>
      <c r="I780" s="49">
        <v>21</v>
      </c>
    </row>
    <row r="781" spans="1:9" x14ac:dyDescent="0.3">
      <c r="A781" s="34"/>
      <c r="B781" s="35"/>
      <c r="C781" s="28"/>
      <c r="D781" s="35"/>
      <c r="E781" s="25" t="s">
        <v>634</v>
      </c>
      <c r="F781" s="25" t="s">
        <v>626</v>
      </c>
      <c r="G781" s="25" t="s">
        <v>1074</v>
      </c>
      <c r="H781" s="25"/>
      <c r="I781" s="49"/>
    </row>
    <row r="782" spans="1:9" ht="15" thickBot="1" x14ac:dyDescent="0.35">
      <c r="A782" s="38"/>
      <c r="B782" s="40"/>
      <c r="C782" s="50"/>
      <c r="D782" s="40"/>
      <c r="E782" s="39" t="s">
        <v>637</v>
      </c>
      <c r="F782" s="25" t="s">
        <v>626</v>
      </c>
      <c r="G782" s="25" t="s">
        <v>1074</v>
      </c>
      <c r="H782" s="39"/>
      <c r="I782" s="51"/>
    </row>
    <row r="783" spans="1:9" x14ac:dyDescent="0.3">
      <c r="A783" s="30" t="s">
        <v>621</v>
      </c>
      <c r="B783" s="31" t="s">
        <v>136</v>
      </c>
      <c r="C783" s="47" t="s">
        <v>621</v>
      </c>
      <c r="D783" s="31" t="s">
        <v>892</v>
      </c>
      <c r="E783" s="32" t="s">
        <v>620</v>
      </c>
      <c r="F783" s="32" t="s">
        <v>626</v>
      </c>
      <c r="G783" s="32" t="s">
        <v>1074</v>
      </c>
      <c r="H783" s="32"/>
      <c r="I783" s="48"/>
    </row>
    <row r="784" spans="1:9" x14ac:dyDescent="0.3">
      <c r="A784" s="34"/>
      <c r="B784" s="35"/>
      <c r="C784" s="28"/>
      <c r="D784" s="35"/>
      <c r="E784" s="25" t="s">
        <v>652</v>
      </c>
      <c r="F784" s="25" t="s">
        <v>1075</v>
      </c>
      <c r="G784" s="25" t="s">
        <v>465</v>
      </c>
      <c r="H784" s="25">
        <v>75</v>
      </c>
      <c r="I784" s="49"/>
    </row>
    <row r="785" spans="1:9" x14ac:dyDescent="0.3">
      <c r="A785" s="34"/>
      <c r="B785" s="35"/>
      <c r="C785" s="28"/>
      <c r="D785" s="35"/>
      <c r="E785" s="25" t="s">
        <v>630</v>
      </c>
      <c r="F785" s="25" t="s">
        <v>1075</v>
      </c>
      <c r="G785" s="25" t="s">
        <v>264</v>
      </c>
      <c r="H785" s="25">
        <v>42</v>
      </c>
      <c r="I785" s="49"/>
    </row>
    <row r="786" spans="1:9" x14ac:dyDescent="0.3">
      <c r="A786" s="34"/>
      <c r="B786" s="35"/>
      <c r="C786" s="28"/>
      <c r="D786" s="35"/>
      <c r="E786" s="25" t="s">
        <v>634</v>
      </c>
      <c r="F786" s="25" t="s">
        <v>1075</v>
      </c>
      <c r="G786" s="25" t="s">
        <v>131</v>
      </c>
      <c r="H786" s="25">
        <v>20</v>
      </c>
      <c r="I786" s="49"/>
    </row>
    <row r="787" spans="1:9" ht="15" thickBot="1" x14ac:dyDescent="0.35">
      <c r="A787" s="38"/>
      <c r="B787" s="40"/>
      <c r="C787" s="50"/>
      <c r="D787" s="40"/>
      <c r="E787" s="39" t="s">
        <v>637</v>
      </c>
      <c r="F787" s="25" t="s">
        <v>626</v>
      </c>
      <c r="G787" s="25" t="s">
        <v>1074</v>
      </c>
      <c r="H787" s="39"/>
      <c r="I787" s="51"/>
    </row>
    <row r="788" spans="1:9" x14ac:dyDescent="0.3">
      <c r="A788" s="30" t="s">
        <v>621</v>
      </c>
      <c r="B788" s="31" t="s">
        <v>262</v>
      </c>
      <c r="C788" s="47" t="s">
        <v>621</v>
      </c>
      <c r="D788" s="31" t="s">
        <v>897</v>
      </c>
      <c r="E788" s="32" t="s">
        <v>620</v>
      </c>
      <c r="F788" s="32" t="s">
        <v>626</v>
      </c>
      <c r="G788" s="32" t="s">
        <v>1074</v>
      </c>
      <c r="H788" s="32"/>
      <c r="I788" s="48"/>
    </row>
    <row r="789" spans="1:9" x14ac:dyDescent="0.3">
      <c r="A789" s="34"/>
      <c r="B789" s="35"/>
      <c r="C789" s="28"/>
      <c r="D789" s="35"/>
      <c r="E789" s="25" t="s">
        <v>652</v>
      </c>
      <c r="F789" s="25" t="s">
        <v>1075</v>
      </c>
      <c r="G789" s="25" t="s">
        <v>458</v>
      </c>
      <c r="H789" s="25">
        <v>74</v>
      </c>
      <c r="I789" s="49"/>
    </row>
    <row r="790" spans="1:9" x14ac:dyDescent="0.3">
      <c r="A790" s="34"/>
      <c r="B790" s="35"/>
      <c r="C790" s="28"/>
      <c r="D790" s="35"/>
      <c r="E790" s="25" t="s">
        <v>630</v>
      </c>
      <c r="F790" s="25" t="s">
        <v>1075</v>
      </c>
      <c r="G790" s="25" t="s">
        <v>258</v>
      </c>
      <c r="H790" s="25">
        <v>41</v>
      </c>
      <c r="I790" s="49"/>
    </row>
    <row r="791" spans="1:9" x14ac:dyDescent="0.3">
      <c r="A791" s="34"/>
      <c r="B791" s="35"/>
      <c r="C791" s="28"/>
      <c r="D791" s="35"/>
      <c r="E791" s="25" t="s">
        <v>634</v>
      </c>
      <c r="F791" s="25" t="s">
        <v>626</v>
      </c>
      <c r="G791" s="25" t="s">
        <v>1074</v>
      </c>
      <c r="H791" s="25"/>
      <c r="I791" s="49"/>
    </row>
    <row r="792" spans="1:9" ht="15" thickBot="1" x14ac:dyDescent="0.35">
      <c r="A792" s="38"/>
      <c r="B792" s="40"/>
      <c r="C792" s="50"/>
      <c r="D792" s="40"/>
      <c r="E792" s="39" t="s">
        <v>637</v>
      </c>
      <c r="F792" s="25" t="s">
        <v>626</v>
      </c>
      <c r="G792" s="25" t="s">
        <v>1074</v>
      </c>
      <c r="H792" s="39"/>
      <c r="I792" s="51"/>
    </row>
    <row r="793" spans="1:9" x14ac:dyDescent="0.3">
      <c r="A793" s="30" t="s">
        <v>621</v>
      </c>
      <c r="B793" s="31" t="s">
        <v>246</v>
      </c>
      <c r="C793" s="47" t="s">
        <v>621</v>
      </c>
      <c r="D793" s="31" t="s">
        <v>906</v>
      </c>
      <c r="E793" s="32" t="s">
        <v>620</v>
      </c>
      <c r="F793" s="32" t="s">
        <v>626</v>
      </c>
      <c r="G793" s="32" t="s">
        <v>1074</v>
      </c>
      <c r="H793" s="32"/>
      <c r="I793" s="48"/>
    </row>
    <row r="794" spans="1:9" x14ac:dyDescent="0.3">
      <c r="A794" s="34"/>
      <c r="B794" s="35"/>
      <c r="C794" s="28"/>
      <c r="D794" s="35"/>
      <c r="E794" s="25" t="s">
        <v>652</v>
      </c>
      <c r="F794" s="25" t="s">
        <v>1075</v>
      </c>
      <c r="G794" s="25" t="s">
        <v>422</v>
      </c>
      <c r="H794" s="25">
        <v>68</v>
      </c>
      <c r="I794" s="49"/>
    </row>
    <row r="795" spans="1:9" x14ac:dyDescent="0.3">
      <c r="A795" s="34"/>
      <c r="B795" s="35"/>
      <c r="C795" s="28"/>
      <c r="D795" s="35"/>
      <c r="E795" s="25" t="s">
        <v>630</v>
      </c>
      <c r="F795" s="25" t="s">
        <v>1075</v>
      </c>
      <c r="G795" s="25" t="s">
        <v>244</v>
      </c>
      <c r="H795" s="25">
        <v>36</v>
      </c>
      <c r="I795" s="49"/>
    </row>
    <row r="796" spans="1:9" x14ac:dyDescent="0.3">
      <c r="A796" s="34"/>
      <c r="B796" s="35"/>
      <c r="C796" s="28"/>
      <c r="D796" s="35"/>
      <c r="E796" s="25" t="s">
        <v>634</v>
      </c>
      <c r="F796" s="25" t="s">
        <v>626</v>
      </c>
      <c r="G796" s="25" t="s">
        <v>1074</v>
      </c>
      <c r="H796" s="25"/>
      <c r="I796" s="49"/>
    </row>
    <row r="797" spans="1:9" ht="15" thickBot="1" x14ac:dyDescent="0.35">
      <c r="A797" s="38"/>
      <c r="B797" s="40"/>
      <c r="C797" s="50"/>
      <c r="D797" s="40"/>
      <c r="E797" s="39" t="s">
        <v>637</v>
      </c>
      <c r="F797" s="25" t="s">
        <v>626</v>
      </c>
      <c r="G797" s="25" t="s">
        <v>1074</v>
      </c>
      <c r="H797" s="39"/>
      <c r="I797" s="51"/>
    </row>
    <row r="798" spans="1:9" x14ac:dyDescent="0.3">
      <c r="A798" s="30" t="s">
        <v>621</v>
      </c>
      <c r="B798" s="31" t="s">
        <v>242</v>
      </c>
      <c r="C798" s="47" t="s">
        <v>621</v>
      </c>
      <c r="D798" s="31" t="s">
        <v>912</v>
      </c>
      <c r="E798" s="32" t="s">
        <v>620</v>
      </c>
      <c r="F798" s="32" t="s">
        <v>626</v>
      </c>
      <c r="G798" s="32" t="s">
        <v>1074</v>
      </c>
      <c r="H798" s="32"/>
      <c r="I798" s="48"/>
    </row>
    <row r="799" spans="1:9" x14ac:dyDescent="0.3">
      <c r="A799" s="34"/>
      <c r="B799" s="35"/>
      <c r="C799" s="28"/>
      <c r="D799" s="35"/>
      <c r="E799" s="25" t="s">
        <v>652</v>
      </c>
      <c r="F799" s="25" t="s">
        <v>1075</v>
      </c>
      <c r="G799" s="25" t="s">
        <v>417</v>
      </c>
      <c r="H799" s="25">
        <v>67</v>
      </c>
      <c r="I799" s="49">
        <v>32</v>
      </c>
    </row>
    <row r="800" spans="1:9" x14ac:dyDescent="0.3">
      <c r="A800" s="34"/>
      <c r="B800" s="35"/>
      <c r="C800" s="28"/>
      <c r="D800" s="35"/>
      <c r="E800" s="25" t="s">
        <v>630</v>
      </c>
      <c r="F800" s="25" t="s">
        <v>1075</v>
      </c>
      <c r="G800" s="25" t="s">
        <v>240</v>
      </c>
      <c r="H800" s="25">
        <v>35</v>
      </c>
      <c r="I800" s="49"/>
    </row>
    <row r="801" spans="1:9" x14ac:dyDescent="0.3">
      <c r="A801" s="34"/>
      <c r="B801" s="35"/>
      <c r="C801" s="28"/>
      <c r="D801" s="35"/>
      <c r="E801" s="25" t="s">
        <v>634</v>
      </c>
      <c r="F801" s="25" t="s">
        <v>626</v>
      </c>
      <c r="G801" s="25" t="s">
        <v>1074</v>
      </c>
      <c r="H801" s="25"/>
      <c r="I801" s="49"/>
    </row>
    <row r="802" spans="1:9" ht="15" thickBot="1" x14ac:dyDescent="0.35">
      <c r="A802" s="38"/>
      <c r="B802" s="40"/>
      <c r="C802" s="50"/>
      <c r="D802" s="40"/>
      <c r="E802" s="39" t="s">
        <v>637</v>
      </c>
      <c r="F802" s="25" t="s">
        <v>626</v>
      </c>
      <c r="G802" s="25" t="s">
        <v>1074</v>
      </c>
      <c r="H802" s="39"/>
      <c r="I802" s="51"/>
    </row>
    <row r="803" spans="1:9" x14ac:dyDescent="0.3">
      <c r="A803" s="30" t="s">
        <v>621</v>
      </c>
      <c r="B803" s="31" t="s">
        <v>237</v>
      </c>
      <c r="C803" s="47" t="s">
        <v>621</v>
      </c>
      <c r="D803" s="31" t="s">
        <v>917</v>
      </c>
      <c r="E803" s="32" t="s">
        <v>620</v>
      </c>
      <c r="F803" s="32" t="s">
        <v>626</v>
      </c>
      <c r="G803" s="32" t="s">
        <v>1074</v>
      </c>
      <c r="H803" s="32"/>
      <c r="I803" s="48"/>
    </row>
    <row r="804" spans="1:9" x14ac:dyDescent="0.3">
      <c r="A804" s="34"/>
      <c r="B804" s="35"/>
      <c r="C804" s="28"/>
      <c r="D804" s="35"/>
      <c r="E804" s="25" t="s">
        <v>652</v>
      </c>
      <c r="F804" s="25" t="s">
        <v>1075</v>
      </c>
      <c r="G804" s="25" t="s">
        <v>411</v>
      </c>
      <c r="H804" s="25">
        <v>66</v>
      </c>
      <c r="I804" s="49"/>
    </row>
    <row r="805" spans="1:9" x14ac:dyDescent="0.3">
      <c r="A805" s="34"/>
      <c r="B805" s="35"/>
      <c r="C805" s="28"/>
      <c r="D805" s="35"/>
      <c r="E805" s="25" t="s">
        <v>630</v>
      </c>
      <c r="F805" s="25" t="s">
        <v>1075</v>
      </c>
      <c r="G805" s="25" t="s">
        <v>235</v>
      </c>
      <c r="H805" s="25">
        <v>34</v>
      </c>
      <c r="I805" s="49"/>
    </row>
    <row r="806" spans="1:9" x14ac:dyDescent="0.3">
      <c r="A806" s="34"/>
      <c r="B806" s="35"/>
      <c r="C806" s="28"/>
      <c r="D806" s="35"/>
      <c r="E806" s="25" t="s">
        <v>634</v>
      </c>
      <c r="F806" s="25" t="s">
        <v>626</v>
      </c>
      <c r="G806" s="25" t="s">
        <v>1074</v>
      </c>
      <c r="H806" s="25"/>
      <c r="I806" s="49"/>
    </row>
    <row r="807" spans="1:9" ht="15" thickBot="1" x14ac:dyDescent="0.35">
      <c r="A807" s="38"/>
      <c r="B807" s="40"/>
      <c r="C807" s="50"/>
      <c r="D807" s="40"/>
      <c r="E807" s="39" t="s">
        <v>637</v>
      </c>
      <c r="F807" s="25" t="s">
        <v>626</v>
      </c>
      <c r="G807" s="25" t="s">
        <v>1074</v>
      </c>
      <c r="H807" s="39"/>
      <c r="I807" s="51"/>
    </row>
    <row r="808" spans="1:9" x14ac:dyDescent="0.3">
      <c r="A808" s="30" t="s">
        <v>621</v>
      </c>
      <c r="B808" s="31" t="s">
        <v>175</v>
      </c>
      <c r="C808" s="47" t="s">
        <v>621</v>
      </c>
      <c r="D808" s="31" t="s">
        <v>922</v>
      </c>
      <c r="E808" s="32" t="s">
        <v>620</v>
      </c>
      <c r="F808" s="32" t="s">
        <v>626</v>
      </c>
      <c r="G808" s="32" t="s">
        <v>1074</v>
      </c>
      <c r="H808" s="32"/>
      <c r="I808" s="48"/>
    </row>
    <row r="809" spans="1:9" x14ac:dyDescent="0.3">
      <c r="A809" s="34"/>
      <c r="B809" s="35"/>
      <c r="C809" s="28"/>
      <c r="D809" s="35"/>
      <c r="E809" s="25" t="s">
        <v>652</v>
      </c>
      <c r="F809" s="25" t="s">
        <v>1075</v>
      </c>
      <c r="G809" s="25" t="s">
        <v>406</v>
      </c>
      <c r="H809" s="25">
        <v>65</v>
      </c>
      <c r="I809" s="49"/>
    </row>
    <row r="810" spans="1:9" x14ac:dyDescent="0.3">
      <c r="A810" s="34"/>
      <c r="B810" s="35"/>
      <c r="C810" s="28"/>
      <c r="D810" s="35"/>
      <c r="E810" s="25" t="s">
        <v>630</v>
      </c>
      <c r="F810" s="25" t="s">
        <v>1075</v>
      </c>
      <c r="G810" s="25" t="s">
        <v>171</v>
      </c>
      <c r="H810" s="25">
        <v>25</v>
      </c>
      <c r="I810" s="49"/>
    </row>
    <row r="811" spans="1:9" x14ac:dyDescent="0.3">
      <c r="A811" s="34"/>
      <c r="B811" s="35"/>
      <c r="C811" s="28"/>
      <c r="D811" s="35"/>
      <c r="E811" s="25" t="s">
        <v>634</v>
      </c>
      <c r="F811" s="25" t="s">
        <v>626</v>
      </c>
      <c r="G811" s="25" t="s">
        <v>1074</v>
      </c>
      <c r="H811" s="25"/>
      <c r="I811" s="49"/>
    </row>
    <row r="812" spans="1:9" ht="15" thickBot="1" x14ac:dyDescent="0.35">
      <c r="A812" s="38"/>
      <c r="B812" s="40"/>
      <c r="C812" s="50"/>
      <c r="D812" s="40"/>
      <c r="E812" s="39" t="s">
        <v>637</v>
      </c>
      <c r="F812" s="25" t="s">
        <v>626</v>
      </c>
      <c r="G812" s="25" t="s">
        <v>1074</v>
      </c>
      <c r="H812" s="39"/>
      <c r="I812" s="51"/>
    </row>
    <row r="813" spans="1:9" x14ac:dyDescent="0.3">
      <c r="A813" s="30" t="s">
        <v>621</v>
      </c>
      <c r="B813" s="31" t="s">
        <v>216</v>
      </c>
      <c r="C813" s="47" t="s">
        <v>621</v>
      </c>
      <c r="D813" s="31" t="s">
        <v>680</v>
      </c>
      <c r="E813" s="32" t="s">
        <v>620</v>
      </c>
      <c r="F813" s="32" t="s">
        <v>626</v>
      </c>
      <c r="G813" s="32" t="s">
        <v>1074</v>
      </c>
      <c r="H813" s="32"/>
      <c r="I813" s="48"/>
    </row>
    <row r="814" spans="1:9" x14ac:dyDescent="0.3">
      <c r="A814" s="34"/>
      <c r="B814" s="35"/>
      <c r="C814" s="28"/>
      <c r="D814" s="35"/>
      <c r="E814" s="25" t="s">
        <v>652</v>
      </c>
      <c r="F814" s="25" t="s">
        <v>1075</v>
      </c>
      <c r="G814" s="25" t="s">
        <v>452</v>
      </c>
      <c r="H814" s="25">
        <v>73</v>
      </c>
      <c r="I814" s="49">
        <v>36</v>
      </c>
    </row>
    <row r="815" spans="1:9" x14ac:dyDescent="0.3">
      <c r="A815" s="34"/>
      <c r="B815" s="35"/>
      <c r="C815" s="28"/>
      <c r="D815" s="35"/>
      <c r="E815" s="25" t="s">
        <v>630</v>
      </c>
      <c r="F815" s="25" t="s">
        <v>626</v>
      </c>
      <c r="G815" s="25" t="s">
        <v>1074</v>
      </c>
      <c r="H815" s="25"/>
      <c r="I815" s="49"/>
    </row>
    <row r="816" spans="1:9" x14ac:dyDescent="0.3">
      <c r="A816" s="34"/>
      <c r="B816" s="35"/>
      <c r="C816" s="28"/>
      <c r="D816" s="35"/>
      <c r="E816" s="25" t="s">
        <v>634</v>
      </c>
      <c r="F816" s="25" t="s">
        <v>1075</v>
      </c>
      <c r="G816" s="25" t="s">
        <v>209</v>
      </c>
      <c r="H816" s="25">
        <v>30</v>
      </c>
      <c r="I816" s="49">
        <v>17</v>
      </c>
    </row>
    <row r="817" spans="1:9" x14ac:dyDescent="0.3">
      <c r="A817" s="34"/>
      <c r="B817" s="35"/>
      <c r="C817" s="28"/>
      <c r="D817" s="35"/>
      <c r="E817" s="25" t="s">
        <v>637</v>
      </c>
      <c r="F817" s="25" t="s">
        <v>1075</v>
      </c>
      <c r="G817" s="25" t="s">
        <v>526</v>
      </c>
      <c r="H817" s="25">
        <v>85</v>
      </c>
      <c r="I817" s="49"/>
    </row>
    <row r="818" spans="1:9" ht="15" thickBot="1" x14ac:dyDescent="0.35">
      <c r="A818" s="38"/>
      <c r="B818" s="40"/>
      <c r="C818" s="50"/>
      <c r="D818" s="40"/>
      <c r="E818" s="39" t="s">
        <v>640</v>
      </c>
      <c r="F818" s="25" t="s">
        <v>626</v>
      </c>
      <c r="G818" s="25" t="s">
        <v>1074</v>
      </c>
      <c r="H818" s="39"/>
      <c r="I818" s="51"/>
    </row>
    <row r="819" spans="1:9" x14ac:dyDescent="0.3">
      <c r="A819" s="30" t="s">
        <v>621</v>
      </c>
      <c r="B819" s="31" t="s">
        <v>168</v>
      </c>
      <c r="C819" s="47" t="s">
        <v>621</v>
      </c>
      <c r="D819" s="31" t="s">
        <v>926</v>
      </c>
      <c r="E819" s="32" t="s">
        <v>620</v>
      </c>
      <c r="F819" s="32" t="s">
        <v>626</v>
      </c>
      <c r="G819" s="32" t="s">
        <v>1074</v>
      </c>
      <c r="H819" s="32"/>
      <c r="I819" s="48"/>
    </row>
    <row r="820" spans="1:9" x14ac:dyDescent="0.3">
      <c r="A820" s="34"/>
      <c r="B820" s="35"/>
      <c r="C820" s="28"/>
      <c r="D820" s="35"/>
      <c r="E820" s="25" t="s">
        <v>652</v>
      </c>
      <c r="F820" s="25" t="s">
        <v>1075</v>
      </c>
      <c r="G820" s="25" t="s">
        <v>401</v>
      </c>
      <c r="H820" s="25">
        <v>64</v>
      </c>
      <c r="I820" s="49"/>
    </row>
    <row r="821" spans="1:9" x14ac:dyDescent="0.3">
      <c r="A821" s="34"/>
      <c r="B821" s="35"/>
      <c r="C821" s="28"/>
      <c r="D821" s="35"/>
      <c r="E821" s="25" t="s">
        <v>630</v>
      </c>
      <c r="F821" s="25" t="s">
        <v>626</v>
      </c>
      <c r="G821" s="25" t="s">
        <v>1074</v>
      </c>
      <c r="H821" s="25"/>
      <c r="I821" s="49"/>
    </row>
    <row r="822" spans="1:9" x14ac:dyDescent="0.3">
      <c r="A822" s="34"/>
      <c r="B822" s="35"/>
      <c r="C822" s="28"/>
      <c r="D822" s="35"/>
      <c r="E822" s="25" t="s">
        <v>634</v>
      </c>
      <c r="F822" s="25" t="s">
        <v>1075</v>
      </c>
      <c r="G822" s="25" t="s">
        <v>163</v>
      </c>
      <c r="H822" s="25">
        <v>24</v>
      </c>
      <c r="I822" s="49"/>
    </row>
    <row r="823" spans="1:9" ht="15" thickBot="1" x14ac:dyDescent="0.35">
      <c r="A823" s="38"/>
      <c r="B823" s="40"/>
      <c r="C823" s="50"/>
      <c r="D823" s="40"/>
      <c r="E823" s="39" t="s">
        <v>637</v>
      </c>
      <c r="F823" s="25" t="s">
        <v>626</v>
      </c>
      <c r="G823" s="25" t="s">
        <v>1074</v>
      </c>
      <c r="H823" s="39"/>
      <c r="I823" s="51"/>
    </row>
    <row r="824" spans="1:9" x14ac:dyDescent="0.3">
      <c r="A824" s="30" t="s">
        <v>621</v>
      </c>
      <c r="B824" s="31" t="s">
        <v>152</v>
      </c>
      <c r="C824" s="47" t="s">
        <v>621</v>
      </c>
      <c r="D824" s="31" t="s">
        <v>931</v>
      </c>
      <c r="E824" s="32" t="s">
        <v>620</v>
      </c>
      <c r="F824" s="32" t="s">
        <v>626</v>
      </c>
      <c r="G824" s="32" t="s">
        <v>1074</v>
      </c>
      <c r="H824" s="32"/>
      <c r="I824" s="48"/>
    </row>
    <row r="825" spans="1:9" x14ac:dyDescent="0.3">
      <c r="A825" s="34"/>
      <c r="B825" s="35"/>
      <c r="C825" s="28"/>
      <c r="D825" s="35"/>
      <c r="E825" s="25" t="s">
        <v>652</v>
      </c>
      <c r="F825" s="25" t="s">
        <v>1075</v>
      </c>
      <c r="G825" s="25" t="s">
        <v>395</v>
      </c>
      <c r="H825" s="25">
        <v>63</v>
      </c>
      <c r="I825" s="49"/>
    </row>
    <row r="826" spans="1:9" x14ac:dyDescent="0.3">
      <c r="A826" s="34"/>
      <c r="B826" s="35"/>
      <c r="C826" s="28"/>
      <c r="D826" s="35"/>
      <c r="E826" s="25" t="s">
        <v>630</v>
      </c>
      <c r="F826" s="25" t="s">
        <v>1075</v>
      </c>
      <c r="G826" s="25" t="s">
        <v>145</v>
      </c>
      <c r="H826" s="25">
        <v>22</v>
      </c>
      <c r="I826" s="49">
        <v>11</v>
      </c>
    </row>
    <row r="827" spans="1:9" x14ac:dyDescent="0.3">
      <c r="A827" s="34"/>
      <c r="B827" s="35"/>
      <c r="C827" s="28"/>
      <c r="D827" s="35"/>
      <c r="E827" s="25" t="s">
        <v>634</v>
      </c>
      <c r="F827" s="25" t="s">
        <v>626</v>
      </c>
      <c r="G827" s="25" t="s">
        <v>1074</v>
      </c>
      <c r="H827" s="25"/>
      <c r="I827" s="49"/>
    </row>
    <row r="828" spans="1:9" ht="15" thickBot="1" x14ac:dyDescent="0.35">
      <c r="A828" s="38"/>
      <c r="B828" s="40"/>
      <c r="C828" s="50"/>
      <c r="D828" s="40"/>
      <c r="E828" s="39" t="s">
        <v>637</v>
      </c>
      <c r="F828" s="25" t="s">
        <v>626</v>
      </c>
      <c r="G828" s="25" t="s">
        <v>1074</v>
      </c>
      <c r="H828" s="39"/>
      <c r="I828" s="51"/>
    </row>
    <row r="829" spans="1:9" x14ac:dyDescent="0.3">
      <c r="A829" s="30" t="s">
        <v>621</v>
      </c>
      <c r="B829" s="31" t="s">
        <v>121</v>
      </c>
      <c r="C829" s="47" t="s">
        <v>621</v>
      </c>
      <c r="D829" s="31" t="s">
        <v>694</v>
      </c>
      <c r="E829" s="32" t="s">
        <v>620</v>
      </c>
      <c r="F829" s="32" t="s">
        <v>626</v>
      </c>
      <c r="G829" s="32" t="s">
        <v>1074</v>
      </c>
      <c r="H829" s="32"/>
      <c r="I829" s="48"/>
    </row>
    <row r="830" spans="1:9" x14ac:dyDescent="0.3">
      <c r="A830" s="34"/>
      <c r="B830" s="35"/>
      <c r="C830" s="28"/>
      <c r="D830" s="35"/>
      <c r="E830" s="25" t="s">
        <v>652</v>
      </c>
      <c r="F830" s="25" t="s">
        <v>1075</v>
      </c>
      <c r="G830" s="25" t="s">
        <v>446</v>
      </c>
      <c r="H830" s="25">
        <v>72</v>
      </c>
      <c r="I830" s="49">
        <v>35</v>
      </c>
    </row>
    <row r="831" spans="1:9" x14ac:dyDescent="0.3">
      <c r="A831" s="34"/>
      <c r="B831" s="35"/>
      <c r="C831" s="28"/>
      <c r="D831" s="35"/>
      <c r="E831" s="25" t="s">
        <v>630</v>
      </c>
      <c r="F831" s="25" t="s">
        <v>626</v>
      </c>
      <c r="G831" s="25" t="s">
        <v>1074</v>
      </c>
      <c r="H831" s="25"/>
      <c r="I831" s="49"/>
    </row>
    <row r="832" spans="1:9" x14ac:dyDescent="0.3">
      <c r="A832" s="34"/>
      <c r="B832" s="35"/>
      <c r="C832" s="28"/>
      <c r="D832" s="35"/>
      <c r="E832" s="25" t="s">
        <v>634</v>
      </c>
      <c r="F832" s="25" t="s">
        <v>1075</v>
      </c>
      <c r="G832" s="25" t="s">
        <v>202</v>
      </c>
      <c r="H832" s="25">
        <v>29</v>
      </c>
      <c r="I832" s="49">
        <v>16</v>
      </c>
    </row>
    <row r="833" spans="1:9" x14ac:dyDescent="0.3">
      <c r="A833" s="34"/>
      <c r="B833" s="35"/>
      <c r="C833" s="28"/>
      <c r="D833" s="35"/>
      <c r="E833" s="25" t="s">
        <v>637</v>
      </c>
      <c r="F833" s="25" t="s">
        <v>1075</v>
      </c>
      <c r="G833" s="25" t="s">
        <v>115</v>
      </c>
      <c r="H833" s="25">
        <v>18</v>
      </c>
      <c r="I833" s="49"/>
    </row>
    <row r="834" spans="1:9" ht="15" thickBot="1" x14ac:dyDescent="0.35">
      <c r="A834" s="38"/>
      <c r="B834" s="40"/>
      <c r="C834" s="50"/>
      <c r="D834" s="40"/>
      <c r="E834" s="39" t="s">
        <v>640</v>
      </c>
      <c r="F834" s="25" t="s">
        <v>626</v>
      </c>
      <c r="G834" s="25" t="s">
        <v>1074</v>
      </c>
      <c r="H834" s="39"/>
      <c r="I834" s="51"/>
    </row>
    <row r="835" spans="1:9" x14ac:dyDescent="0.3">
      <c r="A835" s="30" t="s">
        <v>621</v>
      </c>
      <c r="B835" s="31" t="s">
        <v>513</v>
      </c>
      <c r="C835" s="47" t="s">
        <v>621</v>
      </c>
      <c r="D835" s="31" t="s">
        <v>714</v>
      </c>
      <c r="E835" s="32" t="s">
        <v>620</v>
      </c>
      <c r="F835" s="32" t="s">
        <v>626</v>
      </c>
      <c r="G835" s="32" t="s">
        <v>1074</v>
      </c>
      <c r="H835" s="32"/>
      <c r="I835" s="48"/>
    </row>
    <row r="836" spans="1:9" x14ac:dyDescent="0.3">
      <c r="A836" s="34"/>
      <c r="B836" s="35"/>
      <c r="C836" s="28"/>
      <c r="D836" s="35"/>
      <c r="E836" s="25" t="s">
        <v>652</v>
      </c>
      <c r="F836" s="25" t="s">
        <v>1075</v>
      </c>
      <c r="G836" s="25" t="s">
        <v>576</v>
      </c>
      <c r="H836" s="25">
        <v>98</v>
      </c>
      <c r="I836" s="49">
        <v>48</v>
      </c>
    </row>
    <row r="837" spans="1:9" x14ac:dyDescent="0.3">
      <c r="A837" s="34"/>
      <c r="B837" s="35"/>
      <c r="C837" s="28"/>
      <c r="D837" s="35"/>
      <c r="E837" s="25" t="s">
        <v>630</v>
      </c>
      <c r="F837" s="25" t="s">
        <v>1075</v>
      </c>
      <c r="G837" s="25" t="s">
        <v>508</v>
      </c>
      <c r="H837" s="25">
        <v>82</v>
      </c>
      <c r="I837" s="49"/>
    </row>
    <row r="838" spans="1:9" x14ac:dyDescent="0.3">
      <c r="A838" s="34"/>
      <c r="B838" s="35"/>
      <c r="C838" s="28"/>
      <c r="D838" s="35"/>
      <c r="E838" s="25" t="s">
        <v>634</v>
      </c>
      <c r="F838" s="25" t="s">
        <v>1075</v>
      </c>
      <c r="G838" s="25" t="s">
        <v>567</v>
      </c>
      <c r="H838" s="25">
        <v>96</v>
      </c>
      <c r="I838" s="49">
        <v>46</v>
      </c>
    </row>
    <row r="839" spans="1:9" x14ac:dyDescent="0.3">
      <c r="A839" s="34"/>
      <c r="B839" s="35"/>
      <c r="C839" s="28"/>
      <c r="D839" s="35"/>
      <c r="E839" s="25" t="s">
        <v>637</v>
      </c>
      <c r="F839" s="25" t="s">
        <v>626</v>
      </c>
      <c r="G839" s="25" t="s">
        <v>1074</v>
      </c>
      <c r="H839" s="25"/>
      <c r="I839" s="49"/>
    </row>
    <row r="840" spans="1:9" ht="15" thickBot="1" x14ac:dyDescent="0.35">
      <c r="A840" s="38"/>
      <c r="B840" s="40"/>
      <c r="C840" s="50"/>
      <c r="D840" s="40"/>
      <c r="E840" s="39" t="s">
        <v>640</v>
      </c>
      <c r="F840" s="25" t="s">
        <v>626</v>
      </c>
      <c r="G840" s="25" t="s">
        <v>1074</v>
      </c>
      <c r="H840" s="39"/>
      <c r="I840" s="51"/>
    </row>
    <row r="841" spans="1:9" x14ac:dyDescent="0.3">
      <c r="A841" s="30" t="s">
        <v>621</v>
      </c>
      <c r="B841" s="31" t="s">
        <v>564</v>
      </c>
      <c r="C841" s="47" t="s">
        <v>621</v>
      </c>
      <c r="D841" s="31" t="s">
        <v>722</v>
      </c>
      <c r="E841" s="32" t="s">
        <v>620</v>
      </c>
      <c r="F841" s="32" t="s">
        <v>626</v>
      </c>
      <c r="G841" s="32" t="s">
        <v>1074</v>
      </c>
      <c r="H841" s="32"/>
      <c r="I841" s="48"/>
    </row>
    <row r="842" spans="1:9" x14ac:dyDescent="0.3">
      <c r="A842" s="34"/>
      <c r="B842" s="35"/>
      <c r="C842" s="28"/>
      <c r="D842" s="35"/>
      <c r="E842" s="25" t="s">
        <v>652</v>
      </c>
      <c r="F842" s="25" t="s">
        <v>1075</v>
      </c>
      <c r="G842" s="25" t="s">
        <v>571</v>
      </c>
      <c r="H842" s="25">
        <v>97</v>
      </c>
      <c r="I842" s="49">
        <v>47</v>
      </c>
    </row>
    <row r="843" spans="1:9" x14ac:dyDescent="0.3">
      <c r="A843" s="34"/>
      <c r="B843" s="35"/>
      <c r="C843" s="28"/>
      <c r="D843" s="35"/>
      <c r="E843" s="25" t="s">
        <v>630</v>
      </c>
      <c r="F843" s="25" t="s">
        <v>626</v>
      </c>
      <c r="G843" s="25" t="s">
        <v>1074</v>
      </c>
      <c r="H843" s="25"/>
      <c r="I843" s="49"/>
    </row>
    <row r="844" spans="1:9" x14ac:dyDescent="0.3">
      <c r="A844" s="34"/>
      <c r="B844" s="35"/>
      <c r="C844" s="28"/>
      <c r="D844" s="35"/>
      <c r="E844" s="25" t="s">
        <v>634</v>
      </c>
      <c r="F844" s="25" t="s">
        <v>1075</v>
      </c>
      <c r="G844" s="25" t="s">
        <v>561</v>
      </c>
      <c r="H844" s="25">
        <v>95</v>
      </c>
      <c r="I844" s="49">
        <v>45</v>
      </c>
    </row>
    <row r="845" spans="1:9" x14ac:dyDescent="0.3">
      <c r="A845" s="34"/>
      <c r="B845" s="35"/>
      <c r="C845" s="28"/>
      <c r="D845" s="35"/>
      <c r="E845" s="25" t="s">
        <v>637</v>
      </c>
      <c r="F845" s="25" t="s">
        <v>626</v>
      </c>
      <c r="G845" s="25" t="s">
        <v>1074</v>
      </c>
      <c r="H845" s="25"/>
      <c r="I845" s="49"/>
    </row>
    <row r="846" spans="1:9" ht="15" thickBot="1" x14ac:dyDescent="0.35">
      <c r="A846" s="38"/>
      <c r="B846" s="40"/>
      <c r="C846" s="50"/>
      <c r="D846" s="40"/>
      <c r="E846" s="39" t="s">
        <v>640</v>
      </c>
      <c r="F846" s="25" t="s">
        <v>626</v>
      </c>
      <c r="G846" s="25" t="s">
        <v>1074</v>
      </c>
      <c r="H846" s="39"/>
      <c r="I846" s="51"/>
    </row>
    <row r="847" spans="1:9" x14ac:dyDescent="0.3">
      <c r="A847" s="30" t="s">
        <v>621</v>
      </c>
      <c r="B847" s="31" t="s">
        <v>389</v>
      </c>
      <c r="C847" s="47" t="s">
        <v>621</v>
      </c>
      <c r="D847" s="31" t="s">
        <v>732</v>
      </c>
      <c r="E847" s="32" t="s">
        <v>620</v>
      </c>
      <c r="F847" s="32" t="s">
        <v>626</v>
      </c>
      <c r="G847" s="32" t="s">
        <v>1074</v>
      </c>
      <c r="H847" s="32"/>
      <c r="I847" s="48"/>
    </row>
    <row r="848" spans="1:9" x14ac:dyDescent="0.3">
      <c r="A848" s="34"/>
      <c r="B848" s="35"/>
      <c r="C848" s="28"/>
      <c r="D848" s="35"/>
      <c r="E848" s="25" t="s">
        <v>652</v>
      </c>
      <c r="F848" s="25" t="s">
        <v>1075</v>
      </c>
      <c r="G848" s="25" t="s">
        <v>385</v>
      </c>
      <c r="H848" s="25">
        <v>58</v>
      </c>
      <c r="I848" s="49"/>
    </row>
    <row r="849" spans="1:9" x14ac:dyDescent="0.3">
      <c r="A849" s="34"/>
      <c r="B849" s="35"/>
      <c r="C849" s="28"/>
      <c r="D849" s="35"/>
      <c r="E849" s="25" t="s">
        <v>630</v>
      </c>
      <c r="F849" s="25" t="s">
        <v>626</v>
      </c>
      <c r="G849" s="25" t="s">
        <v>1074</v>
      </c>
      <c r="H849" s="25"/>
      <c r="I849" s="49"/>
    </row>
    <row r="850" spans="1:9" x14ac:dyDescent="0.3">
      <c r="A850" s="34"/>
      <c r="B850" s="35"/>
      <c r="C850" s="28"/>
      <c r="D850" s="35"/>
      <c r="E850" s="25" t="s">
        <v>634</v>
      </c>
      <c r="F850" s="25" t="s">
        <v>1075</v>
      </c>
      <c r="G850" s="25" t="s">
        <v>504</v>
      </c>
      <c r="H850" s="25">
        <v>81</v>
      </c>
      <c r="I850" s="49">
        <v>40</v>
      </c>
    </row>
    <row r="851" spans="1:9" x14ac:dyDescent="0.3">
      <c r="A851" s="34"/>
      <c r="B851" s="35"/>
      <c r="C851" s="28"/>
      <c r="D851" s="35"/>
      <c r="E851" s="25" t="s">
        <v>637</v>
      </c>
      <c r="F851" s="25" t="s">
        <v>1075</v>
      </c>
      <c r="G851" s="25" t="s">
        <v>522</v>
      </c>
      <c r="H851" s="25">
        <v>84</v>
      </c>
      <c r="I851" s="49"/>
    </row>
    <row r="852" spans="1:9" ht="15" thickBot="1" x14ac:dyDescent="0.35">
      <c r="A852" s="38"/>
      <c r="B852" s="40"/>
      <c r="C852" s="50"/>
      <c r="D852" s="40"/>
      <c r="E852" s="39" t="s">
        <v>640</v>
      </c>
      <c r="F852" s="25" t="s">
        <v>626</v>
      </c>
      <c r="G852" s="25" t="s">
        <v>1074</v>
      </c>
      <c r="H852" s="39"/>
      <c r="I852" s="51"/>
    </row>
    <row r="853" spans="1:9" x14ac:dyDescent="0.3">
      <c r="A853" s="30" t="s">
        <v>621</v>
      </c>
      <c r="B853" s="31" t="s">
        <v>184</v>
      </c>
      <c r="C853" s="47" t="s">
        <v>621</v>
      </c>
      <c r="D853" s="31" t="s">
        <v>744</v>
      </c>
      <c r="E853" s="32" t="s">
        <v>620</v>
      </c>
      <c r="F853" s="32" t="s">
        <v>626</v>
      </c>
      <c r="G853" s="32" t="s">
        <v>1074</v>
      </c>
      <c r="H853" s="32"/>
      <c r="I853" s="48"/>
    </row>
    <row r="854" spans="1:9" x14ac:dyDescent="0.3">
      <c r="A854" s="34"/>
      <c r="B854" s="35"/>
      <c r="C854" s="28"/>
      <c r="D854" s="35"/>
      <c r="E854" s="25" t="s">
        <v>652</v>
      </c>
      <c r="F854" s="25" t="s">
        <v>1075</v>
      </c>
      <c r="G854" s="25" t="s">
        <v>380</v>
      </c>
      <c r="H854" s="25">
        <v>57</v>
      </c>
      <c r="I854" s="49">
        <v>29</v>
      </c>
    </row>
    <row r="855" spans="1:9" x14ac:dyDescent="0.3">
      <c r="A855" s="34"/>
      <c r="B855" s="35"/>
      <c r="C855" s="28"/>
      <c r="D855" s="35"/>
      <c r="E855" s="25" t="s">
        <v>630</v>
      </c>
      <c r="F855" s="25" t="s">
        <v>626</v>
      </c>
      <c r="G855" s="25" t="s">
        <v>1074</v>
      </c>
      <c r="H855" s="25"/>
      <c r="I855" s="49"/>
    </row>
    <row r="856" spans="1:9" x14ac:dyDescent="0.3">
      <c r="A856" s="34"/>
      <c r="B856" s="35"/>
      <c r="C856" s="28"/>
      <c r="D856" s="35"/>
      <c r="E856" s="25" t="s">
        <v>634</v>
      </c>
      <c r="F856" s="25" t="s">
        <v>1075</v>
      </c>
      <c r="G856" s="25" t="s">
        <v>499</v>
      </c>
      <c r="H856" s="25">
        <v>80</v>
      </c>
      <c r="I856" s="49">
        <v>39</v>
      </c>
    </row>
    <row r="857" spans="1:9" x14ac:dyDescent="0.3">
      <c r="A857" s="34"/>
      <c r="B857" s="35"/>
      <c r="C857" s="28"/>
      <c r="D857" s="35"/>
      <c r="E857" s="25" t="s">
        <v>637</v>
      </c>
      <c r="F857" s="25" t="s">
        <v>1075</v>
      </c>
      <c r="G857" s="25" t="s">
        <v>178</v>
      </c>
      <c r="H857" s="25">
        <v>26</v>
      </c>
      <c r="I857" s="49">
        <v>13</v>
      </c>
    </row>
    <row r="858" spans="1:9" ht="15" thickBot="1" x14ac:dyDescent="0.35">
      <c r="A858" s="38"/>
      <c r="B858" s="40"/>
      <c r="C858" s="50"/>
      <c r="D858" s="40"/>
      <c r="E858" s="39" t="s">
        <v>640</v>
      </c>
      <c r="F858" s="25" t="s">
        <v>626</v>
      </c>
      <c r="G858" s="25" t="s">
        <v>1074</v>
      </c>
      <c r="H858" s="39"/>
      <c r="I858" s="51"/>
    </row>
    <row r="859" spans="1:9" x14ac:dyDescent="0.3">
      <c r="A859" s="30" t="s">
        <v>621</v>
      </c>
      <c r="B859" s="31" t="s">
        <v>70</v>
      </c>
      <c r="C859" s="47" t="s">
        <v>621</v>
      </c>
      <c r="D859" s="31" t="s">
        <v>843</v>
      </c>
      <c r="E859" s="32" t="s">
        <v>620</v>
      </c>
      <c r="F859" s="32" t="s">
        <v>626</v>
      </c>
      <c r="G859" s="32" t="s">
        <v>1074</v>
      </c>
      <c r="H859" s="32"/>
      <c r="I859" s="48"/>
    </row>
    <row r="860" spans="1:9" x14ac:dyDescent="0.3">
      <c r="A860" s="34"/>
      <c r="B860" s="35"/>
      <c r="C860" s="28"/>
      <c r="D860" s="35"/>
      <c r="E860" s="25" t="s">
        <v>652</v>
      </c>
      <c r="F860" s="25" t="s">
        <v>1075</v>
      </c>
      <c r="G860" s="25" t="s">
        <v>358</v>
      </c>
      <c r="H860" s="25">
        <v>54</v>
      </c>
      <c r="I860" s="49">
        <v>26</v>
      </c>
    </row>
    <row r="861" spans="1:9" x14ac:dyDescent="0.3">
      <c r="A861" s="34"/>
      <c r="B861" s="35"/>
      <c r="C861" s="28"/>
      <c r="D861" s="35"/>
      <c r="E861" s="25" t="s">
        <v>630</v>
      </c>
      <c r="F861" s="25" t="s">
        <v>626</v>
      </c>
      <c r="G861" s="25" t="s">
        <v>1074</v>
      </c>
      <c r="H861" s="25"/>
      <c r="I861" s="49"/>
    </row>
    <row r="862" spans="1:9" x14ac:dyDescent="0.3">
      <c r="A862" s="34"/>
      <c r="B862" s="35"/>
      <c r="C862" s="28"/>
      <c r="D862" s="35"/>
      <c r="E862" s="25" t="s">
        <v>634</v>
      </c>
      <c r="F862" s="25" t="s">
        <v>1075</v>
      </c>
      <c r="G862" s="25" t="s">
        <v>62</v>
      </c>
      <c r="H862" s="25">
        <v>4</v>
      </c>
      <c r="I862" s="49">
        <v>2</v>
      </c>
    </row>
    <row r="863" spans="1:9" x14ac:dyDescent="0.3">
      <c r="A863" s="34"/>
      <c r="B863" s="35"/>
      <c r="C863" s="28"/>
      <c r="D863" s="35"/>
      <c r="E863" s="25" t="s">
        <v>637</v>
      </c>
      <c r="F863" s="25" t="s">
        <v>1075</v>
      </c>
      <c r="G863" s="25" t="s">
        <v>156</v>
      </c>
      <c r="H863" s="25">
        <v>23</v>
      </c>
      <c r="I863" s="49">
        <v>12</v>
      </c>
    </row>
    <row r="864" spans="1:9" ht="15" thickBot="1" x14ac:dyDescent="0.35">
      <c r="A864" s="38"/>
      <c r="B864" s="40"/>
      <c r="C864" s="50"/>
      <c r="D864" s="40"/>
      <c r="E864" s="39" t="s">
        <v>640</v>
      </c>
      <c r="F864" s="25" t="s">
        <v>626</v>
      </c>
      <c r="G864" s="25" t="s">
        <v>1074</v>
      </c>
      <c r="H864" s="39"/>
      <c r="I864" s="51"/>
    </row>
    <row r="865" spans="1:9" x14ac:dyDescent="0.3">
      <c r="A865" s="30" t="s">
        <v>621</v>
      </c>
      <c r="B865" s="31" t="s">
        <v>59</v>
      </c>
      <c r="C865" s="47" t="s">
        <v>621</v>
      </c>
      <c r="D865" s="31" t="s">
        <v>851</v>
      </c>
      <c r="E865" s="32" t="s">
        <v>620</v>
      </c>
      <c r="F865" s="32" t="s">
        <v>626</v>
      </c>
      <c r="G865" s="32" t="s">
        <v>1074</v>
      </c>
      <c r="H865" s="32"/>
      <c r="I865" s="48"/>
    </row>
    <row r="866" spans="1:9" x14ac:dyDescent="0.3">
      <c r="A866" s="34"/>
      <c r="B866" s="35"/>
      <c r="C866" s="28"/>
      <c r="D866" s="35"/>
      <c r="E866" s="25" t="s">
        <v>652</v>
      </c>
      <c r="F866" s="25" t="s">
        <v>1075</v>
      </c>
      <c r="G866" s="25" t="s">
        <v>351</v>
      </c>
      <c r="H866" s="25">
        <v>53</v>
      </c>
      <c r="I866" s="49">
        <v>25</v>
      </c>
    </row>
    <row r="867" spans="1:9" x14ac:dyDescent="0.3">
      <c r="A867" s="34"/>
      <c r="B867" s="35"/>
      <c r="C867" s="28"/>
      <c r="D867" s="35"/>
      <c r="E867" s="25" t="s">
        <v>630</v>
      </c>
      <c r="F867" s="25" t="s">
        <v>626</v>
      </c>
      <c r="G867" s="25" t="s">
        <v>1074</v>
      </c>
      <c r="H867" s="25"/>
      <c r="I867" s="49"/>
    </row>
    <row r="868" spans="1:9" x14ac:dyDescent="0.3">
      <c r="A868" s="34"/>
      <c r="B868" s="35"/>
      <c r="C868" s="28"/>
      <c r="D868" s="35"/>
      <c r="E868" s="25" t="s">
        <v>634</v>
      </c>
      <c r="F868" s="25" t="s">
        <v>1075</v>
      </c>
      <c r="G868" s="25" t="s">
        <v>51</v>
      </c>
      <c r="H868" s="25">
        <v>3</v>
      </c>
      <c r="I868" s="49">
        <v>1</v>
      </c>
    </row>
    <row r="869" spans="1:9" x14ac:dyDescent="0.3">
      <c r="A869" s="34"/>
      <c r="B869" s="35"/>
      <c r="C869" s="28"/>
      <c r="D869" s="35"/>
      <c r="E869" s="25" t="s">
        <v>637</v>
      </c>
      <c r="F869" s="25" t="s">
        <v>1075</v>
      </c>
      <c r="G869" s="25" t="s">
        <v>85</v>
      </c>
      <c r="H869" s="25">
        <v>6</v>
      </c>
      <c r="I869" s="49"/>
    </row>
    <row r="870" spans="1:9" ht="15" thickBot="1" x14ac:dyDescent="0.35">
      <c r="A870" s="38"/>
      <c r="B870" s="40"/>
      <c r="C870" s="50"/>
      <c r="D870" s="40"/>
      <c r="E870" s="39" t="s">
        <v>640</v>
      </c>
      <c r="F870" s="25" t="s">
        <v>626</v>
      </c>
      <c r="G870" s="25" t="s">
        <v>1074</v>
      </c>
      <c r="H870" s="39"/>
      <c r="I870" s="51"/>
    </row>
    <row r="871" spans="1:9" x14ac:dyDescent="0.3">
      <c r="A871" s="30" t="s">
        <v>646</v>
      </c>
      <c r="B871" s="31" t="s">
        <v>193</v>
      </c>
      <c r="C871" s="47" t="s">
        <v>621</v>
      </c>
      <c r="D871" s="31" t="s">
        <v>877</v>
      </c>
      <c r="E871" s="32" t="s">
        <v>620</v>
      </c>
      <c r="F871" s="32" t="s">
        <v>626</v>
      </c>
      <c r="G871" s="32" t="s">
        <v>1074</v>
      </c>
      <c r="H871" s="32"/>
      <c r="I871" s="48"/>
    </row>
    <row r="872" spans="1:9" ht="15" thickBot="1" x14ac:dyDescent="0.35">
      <c r="A872" s="38"/>
      <c r="B872" s="40"/>
      <c r="C872" s="50"/>
      <c r="D872" s="40"/>
      <c r="E872" s="39" t="s">
        <v>652</v>
      </c>
      <c r="F872" s="39" t="s">
        <v>1075</v>
      </c>
      <c r="G872" s="39" t="s">
        <v>186</v>
      </c>
      <c r="H872" s="39">
        <v>27</v>
      </c>
      <c r="I872" s="51">
        <v>14</v>
      </c>
    </row>
    <row r="873" spans="1:9" x14ac:dyDescent="0.3">
      <c r="A873" s="30" t="s">
        <v>646</v>
      </c>
      <c r="B873" s="31" t="s">
        <v>200</v>
      </c>
      <c r="C873" s="47" t="s">
        <v>621</v>
      </c>
      <c r="D873" s="31" t="s">
        <v>873</v>
      </c>
      <c r="E873" s="32" t="s">
        <v>620</v>
      </c>
      <c r="F873" s="32" t="s">
        <v>626</v>
      </c>
      <c r="G873" s="32" t="s">
        <v>1074</v>
      </c>
      <c r="H873" s="32"/>
      <c r="I873" s="48"/>
    </row>
    <row r="874" spans="1:9" ht="15" thickBot="1" x14ac:dyDescent="0.35">
      <c r="A874" s="38"/>
      <c r="B874" s="40"/>
      <c r="C874" s="50"/>
      <c r="D874" s="40"/>
      <c r="E874" s="39" t="s">
        <v>652</v>
      </c>
      <c r="F874" s="39" t="s">
        <v>1075</v>
      </c>
      <c r="G874" s="39" t="s">
        <v>195</v>
      </c>
      <c r="H874" s="39">
        <v>28</v>
      </c>
      <c r="I874" s="51">
        <v>15</v>
      </c>
    </row>
    <row r="875" spans="1:9" x14ac:dyDescent="0.3">
      <c r="A875" s="30" t="s">
        <v>646</v>
      </c>
      <c r="B875" s="31" t="s">
        <v>339</v>
      </c>
      <c r="C875" s="47" t="s">
        <v>621</v>
      </c>
      <c r="D875" s="31" t="s">
        <v>981</v>
      </c>
      <c r="E875" s="32" t="s">
        <v>620</v>
      </c>
      <c r="F875" s="32" t="s">
        <v>626</v>
      </c>
      <c r="G875" s="32" t="s">
        <v>1074</v>
      </c>
      <c r="H875" s="32"/>
      <c r="I875" s="48"/>
    </row>
    <row r="876" spans="1:9" ht="15" thickBot="1" x14ac:dyDescent="0.35">
      <c r="A876" s="38"/>
      <c r="B876" s="40"/>
      <c r="C876" s="50"/>
      <c r="D876" s="40"/>
      <c r="E876" s="39" t="s">
        <v>652</v>
      </c>
      <c r="F876" s="39" t="s">
        <v>1075</v>
      </c>
      <c r="G876" s="39" t="s">
        <v>331</v>
      </c>
      <c r="H876" s="39">
        <v>51</v>
      </c>
      <c r="I876" s="51"/>
    </row>
    <row r="877" spans="1:9" x14ac:dyDescent="0.3">
      <c r="A877" s="30" t="s">
        <v>646</v>
      </c>
      <c r="B877" s="31" t="s">
        <v>349</v>
      </c>
      <c r="C877" s="47" t="s">
        <v>621</v>
      </c>
      <c r="D877" s="31" t="s">
        <v>977</v>
      </c>
      <c r="E877" s="32" t="s">
        <v>620</v>
      </c>
      <c r="F877" s="32" t="s">
        <v>626</v>
      </c>
      <c r="G877" s="32" t="s">
        <v>1074</v>
      </c>
      <c r="H877" s="32"/>
      <c r="I877" s="48"/>
    </row>
    <row r="878" spans="1:9" ht="15" thickBot="1" x14ac:dyDescent="0.35">
      <c r="A878" s="38"/>
      <c r="B878" s="40"/>
      <c r="C878" s="50"/>
      <c r="D878" s="40"/>
      <c r="E878" s="39" t="s">
        <v>652</v>
      </c>
      <c r="F878" s="39" t="s">
        <v>1075</v>
      </c>
      <c r="G878" s="39" t="s">
        <v>341</v>
      </c>
      <c r="H878" s="39">
        <v>52</v>
      </c>
      <c r="I878" s="51"/>
    </row>
    <row r="879" spans="1:9" x14ac:dyDescent="0.3">
      <c r="A879" s="30" t="s">
        <v>646</v>
      </c>
      <c r="B879" s="31" t="s">
        <v>1106</v>
      </c>
      <c r="C879" s="47" t="s">
        <v>621</v>
      </c>
      <c r="D879" s="31" t="s">
        <v>1107</v>
      </c>
      <c r="E879" s="32" t="s">
        <v>620</v>
      </c>
      <c r="F879" s="32" t="s">
        <v>626</v>
      </c>
      <c r="G879" s="32" t="s">
        <v>1074</v>
      </c>
      <c r="H879" s="32"/>
      <c r="I879" s="48"/>
    </row>
    <row r="880" spans="1:9" ht="15" thickBot="1" x14ac:dyDescent="0.35">
      <c r="A880" s="38"/>
      <c r="B880" s="40"/>
      <c r="C880" s="50"/>
      <c r="D880" s="40"/>
      <c r="E880" s="39" t="s">
        <v>652</v>
      </c>
      <c r="F880" s="25" t="s">
        <v>626</v>
      </c>
      <c r="G880" s="25" t="s">
        <v>1074</v>
      </c>
      <c r="H880" s="39"/>
      <c r="I880" s="51"/>
    </row>
    <row r="881" spans="1:9" x14ac:dyDescent="0.3">
      <c r="A881" s="30" t="s">
        <v>646</v>
      </c>
      <c r="B881" s="31" t="s">
        <v>1108</v>
      </c>
      <c r="C881" s="47" t="s">
        <v>621</v>
      </c>
      <c r="D881" s="31" t="s">
        <v>1109</v>
      </c>
      <c r="E881" s="32" t="s">
        <v>620</v>
      </c>
      <c r="F881" s="32" t="s">
        <v>626</v>
      </c>
      <c r="G881" s="32" t="s">
        <v>1074</v>
      </c>
      <c r="H881" s="32"/>
      <c r="I881" s="48"/>
    </row>
    <row r="882" spans="1:9" ht="15" thickBot="1" x14ac:dyDescent="0.35">
      <c r="A882" s="38"/>
      <c r="B882" s="40"/>
      <c r="C882" s="50"/>
      <c r="D882" s="40"/>
      <c r="E882" s="39" t="s">
        <v>652</v>
      </c>
      <c r="F882" s="25" t="s">
        <v>626</v>
      </c>
      <c r="G882" s="25" t="s">
        <v>1074</v>
      </c>
      <c r="H882" s="39"/>
      <c r="I882" s="51"/>
    </row>
    <row r="883" spans="1:9" x14ac:dyDescent="0.3">
      <c r="A883" s="30" t="s">
        <v>646</v>
      </c>
      <c r="B883" s="31" t="s">
        <v>1110</v>
      </c>
      <c r="C883" s="47" t="s">
        <v>621</v>
      </c>
      <c r="D883" s="31" t="s">
        <v>1111</v>
      </c>
      <c r="E883" s="32" t="s">
        <v>620</v>
      </c>
      <c r="F883" s="32" t="s">
        <v>626</v>
      </c>
      <c r="G883" s="32" t="s">
        <v>1074</v>
      </c>
      <c r="H883" s="32"/>
      <c r="I883" s="48"/>
    </row>
    <row r="884" spans="1:9" ht="15" thickBot="1" x14ac:dyDescent="0.35">
      <c r="A884" s="38"/>
      <c r="B884" s="40"/>
      <c r="C884" s="50"/>
      <c r="D884" s="40"/>
      <c r="E884" s="39" t="s">
        <v>652</v>
      </c>
      <c r="F884" s="25" t="s">
        <v>626</v>
      </c>
      <c r="G884" s="25" t="s">
        <v>1074</v>
      </c>
      <c r="H884" s="39"/>
      <c r="I884" s="51"/>
    </row>
    <row r="885" spans="1:9" x14ac:dyDescent="0.3">
      <c r="A885" s="30" t="s">
        <v>646</v>
      </c>
      <c r="B885" s="31" t="s">
        <v>1112</v>
      </c>
      <c r="C885" s="47" t="s">
        <v>621</v>
      </c>
      <c r="D885" s="31" t="s">
        <v>1113</v>
      </c>
      <c r="E885" s="32" t="s">
        <v>620</v>
      </c>
      <c r="F885" s="32" t="s">
        <v>626</v>
      </c>
      <c r="G885" s="32" t="s">
        <v>1074</v>
      </c>
      <c r="H885" s="32"/>
      <c r="I885" s="48"/>
    </row>
    <row r="886" spans="1:9" ht="15" thickBot="1" x14ac:dyDescent="0.35">
      <c r="A886" s="38"/>
      <c r="B886" s="40"/>
      <c r="C886" s="50"/>
      <c r="D886" s="40"/>
      <c r="E886" s="39" t="s">
        <v>652</v>
      </c>
      <c r="F886" s="25" t="s">
        <v>626</v>
      </c>
      <c r="G886" s="25" t="s">
        <v>1074</v>
      </c>
      <c r="H886" s="39"/>
      <c r="I886" s="51"/>
    </row>
    <row r="887" spans="1:9" x14ac:dyDescent="0.3">
      <c r="A887" s="30" t="s">
        <v>646</v>
      </c>
      <c r="B887" s="31" t="s">
        <v>306</v>
      </c>
      <c r="C887" s="47" t="s">
        <v>621</v>
      </c>
      <c r="D887" s="31" t="s">
        <v>867</v>
      </c>
      <c r="E887" s="32" t="s">
        <v>620</v>
      </c>
      <c r="F887" s="32" t="s">
        <v>626</v>
      </c>
      <c r="G887" s="32" t="s">
        <v>1074</v>
      </c>
      <c r="H887" s="32"/>
      <c r="I887" s="48"/>
    </row>
    <row r="888" spans="1:9" ht="15" thickBot="1" x14ac:dyDescent="0.35">
      <c r="A888" s="38"/>
      <c r="B888" s="40"/>
      <c r="C888" s="50"/>
      <c r="D888" s="40"/>
      <c r="E888" s="39" t="s">
        <v>652</v>
      </c>
      <c r="F888" s="39" t="s">
        <v>1075</v>
      </c>
      <c r="G888" s="39" t="s">
        <v>300</v>
      </c>
      <c r="H888" s="39">
        <v>47</v>
      </c>
      <c r="I888" s="51">
        <v>23</v>
      </c>
    </row>
    <row r="889" spans="1:9" x14ac:dyDescent="0.3">
      <c r="A889" s="30" t="s">
        <v>646</v>
      </c>
      <c r="B889" s="31" t="s">
        <v>315</v>
      </c>
      <c r="C889" s="47" t="s">
        <v>621</v>
      </c>
      <c r="D889" s="31" t="s">
        <v>863</v>
      </c>
      <c r="E889" s="32" t="s">
        <v>620</v>
      </c>
      <c r="F889" s="32" t="s">
        <v>626</v>
      </c>
      <c r="G889" s="32" t="s">
        <v>1074</v>
      </c>
      <c r="H889" s="32"/>
      <c r="I889" s="48"/>
    </row>
    <row r="890" spans="1:9" ht="15" thickBot="1" x14ac:dyDescent="0.35">
      <c r="A890" s="38"/>
      <c r="B890" s="40"/>
      <c r="C890" s="50"/>
      <c r="D890" s="40"/>
      <c r="E890" s="39" t="s">
        <v>652</v>
      </c>
      <c r="F890" s="39" t="s">
        <v>1075</v>
      </c>
      <c r="G890" s="39" t="s">
        <v>309</v>
      </c>
      <c r="H890" s="39">
        <v>48</v>
      </c>
      <c r="I890" s="51">
        <v>24</v>
      </c>
    </row>
    <row r="891" spans="1:9" x14ac:dyDescent="0.3">
      <c r="A891" s="30" t="s">
        <v>646</v>
      </c>
      <c r="B891" s="31" t="s">
        <v>438</v>
      </c>
      <c r="C891" s="47" t="s">
        <v>621</v>
      </c>
      <c r="D891" s="31" t="s">
        <v>1016</v>
      </c>
      <c r="E891" s="32" t="s">
        <v>620</v>
      </c>
      <c r="F891" s="32" t="s">
        <v>626</v>
      </c>
      <c r="G891" s="32" t="s">
        <v>1074</v>
      </c>
      <c r="H891" s="32"/>
      <c r="I891" s="48"/>
    </row>
    <row r="892" spans="1:9" ht="15" thickBot="1" x14ac:dyDescent="0.35">
      <c r="A892" s="38"/>
      <c r="B892" s="40"/>
      <c r="C892" s="50"/>
      <c r="D892" s="40"/>
      <c r="E892" s="39" t="s">
        <v>652</v>
      </c>
      <c r="F892" s="39" t="s">
        <v>1075</v>
      </c>
      <c r="G892" s="39" t="s">
        <v>433</v>
      </c>
      <c r="H892" s="39">
        <v>70</v>
      </c>
      <c r="I892" s="51">
        <v>33</v>
      </c>
    </row>
    <row r="893" spans="1:9" x14ac:dyDescent="0.3">
      <c r="A893" s="30" t="s">
        <v>646</v>
      </c>
      <c r="B893" s="31" t="s">
        <v>444</v>
      </c>
      <c r="C893" s="47" t="s">
        <v>621</v>
      </c>
      <c r="D893" s="31" t="s">
        <v>1009</v>
      </c>
      <c r="E893" s="32" t="s">
        <v>620</v>
      </c>
      <c r="F893" s="32" t="s">
        <v>626</v>
      </c>
      <c r="G893" s="32" t="s">
        <v>1074</v>
      </c>
      <c r="H893" s="32"/>
      <c r="I893" s="48"/>
    </row>
    <row r="894" spans="1:9" ht="15" thickBot="1" x14ac:dyDescent="0.35">
      <c r="A894" s="38"/>
      <c r="B894" s="40"/>
      <c r="C894" s="50"/>
      <c r="D894" s="40"/>
      <c r="E894" s="39" t="s">
        <v>652</v>
      </c>
      <c r="F894" s="39" t="s">
        <v>1075</v>
      </c>
      <c r="G894" s="39" t="s">
        <v>440</v>
      </c>
      <c r="H894" s="39">
        <v>71</v>
      </c>
      <c r="I894" s="51">
        <v>34</v>
      </c>
    </row>
    <row r="895" spans="1:9" x14ac:dyDescent="0.3">
      <c r="A895" s="30" t="s">
        <v>646</v>
      </c>
      <c r="B895" s="31" t="s">
        <v>60</v>
      </c>
      <c r="C895" s="47" t="s">
        <v>621</v>
      </c>
      <c r="D895" s="31" t="s">
        <v>1004</v>
      </c>
      <c r="E895" s="32" t="s">
        <v>620</v>
      </c>
      <c r="F895" s="32" t="s">
        <v>626</v>
      </c>
      <c r="G895" s="32" t="s">
        <v>1074</v>
      </c>
      <c r="H895" s="32"/>
      <c r="I895" s="48"/>
    </row>
    <row r="896" spans="1:9" x14ac:dyDescent="0.3">
      <c r="A896" s="34"/>
      <c r="B896" s="35"/>
      <c r="C896" s="28"/>
      <c r="D896" s="35"/>
      <c r="E896" s="25" t="s">
        <v>652</v>
      </c>
      <c r="F896" s="25" t="s">
        <v>1075</v>
      </c>
      <c r="G896" s="25" t="s">
        <v>115</v>
      </c>
      <c r="H896" s="25">
        <v>18</v>
      </c>
      <c r="I896" s="49"/>
    </row>
    <row r="897" spans="1:9" ht="15" thickBot="1" x14ac:dyDescent="0.35">
      <c r="A897" s="38"/>
      <c r="B897" s="40"/>
      <c r="C897" s="50"/>
      <c r="D897" s="40"/>
      <c r="E897" s="39" t="s">
        <v>630</v>
      </c>
      <c r="F897" s="39" t="s">
        <v>1075</v>
      </c>
      <c r="G897" s="39" t="s">
        <v>51</v>
      </c>
      <c r="H897" s="39">
        <v>3</v>
      </c>
      <c r="I897" s="51">
        <v>1</v>
      </c>
    </row>
    <row r="898" spans="1:9" x14ac:dyDescent="0.3">
      <c r="A898" s="30" t="s">
        <v>646</v>
      </c>
      <c r="B898" s="31" t="s">
        <v>71</v>
      </c>
      <c r="C898" s="47" t="s">
        <v>621</v>
      </c>
      <c r="D898" s="31" t="s">
        <v>1002</v>
      </c>
      <c r="E898" s="32" t="s">
        <v>620</v>
      </c>
      <c r="F898" s="32" t="s">
        <v>626</v>
      </c>
      <c r="G898" s="32" t="s">
        <v>1074</v>
      </c>
      <c r="H898" s="32"/>
      <c r="I898" s="48"/>
    </row>
    <row r="899" spans="1:9" x14ac:dyDescent="0.3">
      <c r="A899" s="34"/>
      <c r="B899" s="35"/>
      <c r="C899" s="28"/>
      <c r="D899" s="35"/>
      <c r="E899" s="25" t="s">
        <v>652</v>
      </c>
      <c r="F899" s="25" t="s">
        <v>1075</v>
      </c>
      <c r="G899" s="25" t="s">
        <v>231</v>
      </c>
      <c r="H899" s="25">
        <v>33</v>
      </c>
      <c r="I899" s="49">
        <v>18</v>
      </c>
    </row>
    <row r="900" spans="1:9" ht="15" thickBot="1" x14ac:dyDescent="0.35">
      <c r="A900" s="38"/>
      <c r="B900" s="40"/>
      <c r="C900" s="50"/>
      <c r="D900" s="40"/>
      <c r="E900" s="39" t="s">
        <v>630</v>
      </c>
      <c r="F900" s="39" t="s">
        <v>1075</v>
      </c>
      <c r="G900" s="39" t="s">
        <v>62</v>
      </c>
      <c r="H900" s="39">
        <v>4</v>
      </c>
      <c r="I900" s="51">
        <v>2</v>
      </c>
    </row>
    <row r="901" spans="1:9" x14ac:dyDescent="0.3">
      <c r="A901" s="30" t="s">
        <v>646</v>
      </c>
      <c r="B901" s="31" t="s">
        <v>83</v>
      </c>
      <c r="C901" s="47" t="s">
        <v>621</v>
      </c>
      <c r="D901" s="31" t="s">
        <v>990</v>
      </c>
      <c r="E901" s="32" t="s">
        <v>620</v>
      </c>
      <c r="F901" s="32" t="s">
        <v>626</v>
      </c>
      <c r="G901" s="32" t="s">
        <v>1074</v>
      </c>
      <c r="H901" s="32"/>
      <c r="I901" s="48"/>
    </row>
    <row r="902" spans="1:9" x14ac:dyDescent="0.3">
      <c r="A902" s="34"/>
      <c r="B902" s="35"/>
      <c r="C902" s="28"/>
      <c r="D902" s="35"/>
      <c r="E902" s="25" t="s">
        <v>652</v>
      </c>
      <c r="F902" s="25" t="s">
        <v>1075</v>
      </c>
      <c r="G902" s="25" t="s">
        <v>282</v>
      </c>
      <c r="H902" s="25">
        <v>45</v>
      </c>
      <c r="I902" s="49">
        <v>21</v>
      </c>
    </row>
    <row r="903" spans="1:9" ht="15" thickBot="1" x14ac:dyDescent="0.35">
      <c r="A903" s="38"/>
      <c r="B903" s="40"/>
      <c r="C903" s="50"/>
      <c r="D903" s="40"/>
      <c r="E903" s="39" t="s">
        <v>630</v>
      </c>
      <c r="F903" s="39" t="s">
        <v>1075</v>
      </c>
      <c r="G903" s="39" t="s">
        <v>74</v>
      </c>
      <c r="H903" s="39">
        <v>5</v>
      </c>
      <c r="I903" s="51"/>
    </row>
    <row r="904" spans="1:9" x14ac:dyDescent="0.3">
      <c r="A904" s="30" t="s">
        <v>646</v>
      </c>
      <c r="B904" s="31" t="s">
        <v>298</v>
      </c>
      <c r="C904" s="47" t="s">
        <v>621</v>
      </c>
      <c r="D904" s="31" t="s">
        <v>987</v>
      </c>
      <c r="E904" s="32" t="s">
        <v>620</v>
      </c>
      <c r="F904" s="32" t="s">
        <v>626</v>
      </c>
      <c r="G904" s="32" t="s">
        <v>1074</v>
      </c>
      <c r="H904" s="32"/>
      <c r="I904" s="48"/>
    </row>
    <row r="905" spans="1:9" ht="15" thickBot="1" x14ac:dyDescent="0.35">
      <c r="A905" s="43"/>
      <c r="B905" s="45"/>
      <c r="C905" s="52"/>
      <c r="D905" s="45"/>
      <c r="E905" s="44" t="s">
        <v>652</v>
      </c>
      <c r="F905" s="44" t="s">
        <v>1075</v>
      </c>
      <c r="G905" s="44" t="s">
        <v>290</v>
      </c>
      <c r="H905" s="44">
        <v>46</v>
      </c>
      <c r="I905" s="53">
        <v>22</v>
      </c>
    </row>
  </sheetData>
  <sheetProtection formatCells="0" formatColumns="0" formatRows="0" insertColumns="0" insertRows="0" insertHyperlinks="0" deleteColumns="0" deleteRows="0" sort="0" autoFilter="0" pivotTables="0"/>
  <autoFilter ref="A1:I905" xr:uid="{88E6E7D0-360E-42D4-86E7-28A099F0D63C}"/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6186-AC34-4C5B-B247-13F52F96D950}">
  <sheetPr>
    <tabColor theme="0" tint="-0.34998626667073579"/>
  </sheetPr>
  <dimension ref="A1:F18"/>
  <sheetViews>
    <sheetView zoomScale="85" zoomScaleNormal="85" workbookViewId="0">
      <selection activeCell="H1" sqref="H1"/>
    </sheetView>
  </sheetViews>
  <sheetFormatPr defaultColWidth="8.6640625" defaultRowHeight="14.4" x14ac:dyDescent="0.3"/>
  <cols>
    <col min="1" max="1" width="14" style="26" customWidth="1"/>
    <col min="2" max="2" width="43.5546875" style="26" customWidth="1"/>
    <col min="3" max="4" width="3.44140625" style="26" customWidth="1"/>
    <col min="5" max="5" width="14" style="26" customWidth="1"/>
    <col min="6" max="6" width="10.5546875" style="26" customWidth="1"/>
    <col min="7" max="16384" width="8.6640625" style="26"/>
  </cols>
  <sheetData>
    <row r="1" spans="1:6" ht="146.4" thickTop="1" thickBot="1" x14ac:dyDescent="0.35">
      <c r="A1" s="118" t="s">
        <v>1114</v>
      </c>
      <c r="B1" s="119" t="s">
        <v>3</v>
      </c>
      <c r="C1" s="121" t="s">
        <v>1296</v>
      </c>
      <c r="D1" s="121" t="s">
        <v>1297</v>
      </c>
      <c r="E1" s="119" t="s">
        <v>1115</v>
      </c>
      <c r="F1" s="120" t="s">
        <v>595</v>
      </c>
    </row>
    <row r="2" spans="1:6" ht="15" thickBot="1" x14ac:dyDescent="0.35">
      <c r="A2" s="54" t="s">
        <v>95</v>
      </c>
      <c r="B2" s="55" t="s">
        <v>1116</v>
      </c>
      <c r="C2" s="55">
        <v>7</v>
      </c>
      <c r="D2" s="55"/>
      <c r="E2" s="55" t="s">
        <v>95</v>
      </c>
      <c r="F2" s="56"/>
    </row>
    <row r="3" spans="1:6" x14ac:dyDescent="0.3">
      <c r="A3" s="30" t="s">
        <v>111</v>
      </c>
      <c r="B3" s="31"/>
      <c r="C3" s="32">
        <v>13</v>
      </c>
      <c r="D3" s="32">
        <v>7</v>
      </c>
      <c r="E3" s="31" t="s">
        <v>111</v>
      </c>
      <c r="F3" s="33"/>
    </row>
    <row r="4" spans="1:6" ht="15" thickBot="1" x14ac:dyDescent="0.35">
      <c r="A4" s="58"/>
      <c r="B4" s="40"/>
      <c r="C4" s="39">
        <v>60</v>
      </c>
      <c r="D4" s="39"/>
      <c r="E4" s="40"/>
      <c r="F4" s="41"/>
    </row>
    <row r="5" spans="1:6" ht="15" thickBot="1" x14ac:dyDescent="0.35">
      <c r="A5" s="54" t="s">
        <v>107</v>
      </c>
      <c r="B5" s="55"/>
      <c r="C5" s="55">
        <v>11</v>
      </c>
      <c r="D5" s="55">
        <v>6</v>
      </c>
      <c r="E5" s="55" t="s">
        <v>107</v>
      </c>
      <c r="F5" s="56"/>
    </row>
    <row r="6" spans="1:6" x14ac:dyDescent="0.3">
      <c r="A6" s="30" t="s">
        <v>105</v>
      </c>
      <c r="B6" s="31"/>
      <c r="C6" s="32">
        <v>10</v>
      </c>
      <c r="D6" s="32">
        <v>5</v>
      </c>
      <c r="E6" s="31" t="s">
        <v>105</v>
      </c>
      <c r="F6" s="33"/>
    </row>
    <row r="7" spans="1:6" x14ac:dyDescent="0.3">
      <c r="A7" s="57"/>
      <c r="B7" s="35"/>
      <c r="C7" s="25">
        <v>37</v>
      </c>
      <c r="D7" s="25">
        <v>31</v>
      </c>
      <c r="E7" s="35"/>
      <c r="F7" s="36"/>
    </row>
    <row r="8" spans="1:6" x14ac:dyDescent="0.3">
      <c r="A8" s="57"/>
      <c r="B8" s="35"/>
      <c r="C8" s="25">
        <v>62</v>
      </c>
      <c r="D8" s="25"/>
      <c r="E8" s="35"/>
      <c r="F8" s="36"/>
    </row>
    <row r="9" spans="1:6" ht="15" thickBot="1" x14ac:dyDescent="0.35">
      <c r="A9" s="58"/>
      <c r="B9" s="40"/>
      <c r="C9" s="39">
        <v>87</v>
      </c>
      <c r="D9" s="39"/>
      <c r="E9" s="40"/>
      <c r="F9" s="41"/>
    </row>
    <row r="10" spans="1:6" ht="15" thickBot="1" x14ac:dyDescent="0.35">
      <c r="A10" s="54" t="s">
        <v>102</v>
      </c>
      <c r="B10" s="55" t="s">
        <v>1117</v>
      </c>
      <c r="C10" s="55">
        <v>8</v>
      </c>
      <c r="D10" s="55">
        <v>3</v>
      </c>
      <c r="E10" s="55" t="s">
        <v>1118</v>
      </c>
      <c r="F10" s="56"/>
    </row>
    <row r="11" spans="1:6" ht="15" thickBot="1" x14ac:dyDescent="0.35">
      <c r="A11" s="54" t="s">
        <v>104</v>
      </c>
      <c r="B11" s="55" t="s">
        <v>1119</v>
      </c>
      <c r="C11" s="55">
        <v>9</v>
      </c>
      <c r="D11" s="55">
        <v>4</v>
      </c>
      <c r="E11" s="55" t="s">
        <v>1120</v>
      </c>
      <c r="F11" s="56"/>
    </row>
    <row r="12" spans="1:6" x14ac:dyDescent="0.3">
      <c r="A12" s="30" t="s">
        <v>109</v>
      </c>
      <c r="B12" s="31" t="s">
        <v>1121</v>
      </c>
      <c r="C12" s="32">
        <v>12</v>
      </c>
      <c r="D12" s="32">
        <v>8</v>
      </c>
      <c r="E12" s="31" t="s">
        <v>109</v>
      </c>
      <c r="F12" s="33"/>
    </row>
    <row r="13" spans="1:6" x14ac:dyDescent="0.3">
      <c r="A13" s="57"/>
      <c r="B13" s="35"/>
      <c r="C13" s="25">
        <v>14</v>
      </c>
      <c r="D13" s="25">
        <v>30</v>
      </c>
      <c r="E13" s="35"/>
      <c r="F13" s="36"/>
    </row>
    <row r="14" spans="1:6" x14ac:dyDescent="0.3">
      <c r="A14" s="57"/>
      <c r="B14" s="35"/>
      <c r="C14" s="25">
        <v>16</v>
      </c>
      <c r="D14" s="25"/>
      <c r="E14" s="35"/>
      <c r="F14" s="36"/>
    </row>
    <row r="15" spans="1:6" x14ac:dyDescent="0.3">
      <c r="A15" s="57"/>
      <c r="B15" s="35"/>
      <c r="C15" s="25">
        <v>16</v>
      </c>
      <c r="D15" s="25"/>
      <c r="E15" s="35"/>
      <c r="F15" s="36"/>
    </row>
    <row r="16" spans="1:6" x14ac:dyDescent="0.3">
      <c r="A16" s="57"/>
      <c r="B16" s="35"/>
      <c r="C16" s="25">
        <v>38</v>
      </c>
      <c r="D16" s="25"/>
      <c r="E16" s="35"/>
      <c r="F16" s="36"/>
    </row>
    <row r="17" spans="1:6" x14ac:dyDescent="0.3">
      <c r="A17" s="57"/>
      <c r="B17" s="35"/>
      <c r="C17" s="25">
        <v>61</v>
      </c>
      <c r="D17" s="25"/>
      <c r="E17" s="35"/>
      <c r="F17" s="36"/>
    </row>
    <row r="18" spans="1:6" ht="15" thickBot="1" x14ac:dyDescent="0.35">
      <c r="A18" s="97"/>
      <c r="B18" s="45"/>
      <c r="C18" s="44">
        <v>86</v>
      </c>
      <c r="D18" s="44"/>
      <c r="E18" s="45"/>
      <c r="F18" s="46"/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92DA-9916-4F22-BD93-FF79ACC8DFF4}">
  <sheetPr>
    <tabColor theme="0" tint="-0.34998626667073579"/>
  </sheetPr>
  <dimension ref="A1:I4"/>
  <sheetViews>
    <sheetView zoomScale="70" zoomScaleNormal="70" workbookViewId="0">
      <selection activeCell="G21" sqref="G21"/>
    </sheetView>
  </sheetViews>
  <sheetFormatPr defaultColWidth="8.6640625" defaultRowHeight="14.4" x14ac:dyDescent="0.3"/>
  <cols>
    <col min="1" max="1" width="11.6640625" style="26" customWidth="1"/>
    <col min="2" max="2" width="10.5546875" style="26" customWidth="1"/>
    <col min="3" max="3" width="8.109375" style="26" customWidth="1"/>
    <col min="4" max="4" width="28.109375" style="26" customWidth="1"/>
    <col min="5" max="5" width="11.6640625" style="26" customWidth="1"/>
    <col min="6" max="6" width="10.5546875" style="26" customWidth="1"/>
    <col min="7" max="7" width="18.6640625" style="26" customWidth="1"/>
    <col min="8" max="8" width="17.5546875" style="26" customWidth="1"/>
    <col min="9" max="9" width="20" style="26" customWidth="1"/>
    <col min="10" max="16384" width="8.6640625" style="26"/>
  </cols>
  <sheetData>
    <row r="1" spans="1:9" ht="15.6" thickTop="1" thickBot="1" x14ac:dyDescent="0.35">
      <c r="A1" s="118" t="s">
        <v>592</v>
      </c>
      <c r="B1" s="119" t="s">
        <v>595</v>
      </c>
      <c r="C1" s="119" t="s">
        <v>596</v>
      </c>
      <c r="D1" s="119" t="s">
        <v>3</v>
      </c>
      <c r="E1" s="119" t="s">
        <v>597</v>
      </c>
      <c r="F1" s="119" t="s">
        <v>598</v>
      </c>
      <c r="G1" s="119" t="s">
        <v>1296</v>
      </c>
      <c r="H1" s="119" t="s">
        <v>1297</v>
      </c>
      <c r="I1" s="120" t="s">
        <v>599</v>
      </c>
    </row>
    <row r="2" spans="1:9" ht="15" thickBot="1" x14ac:dyDescent="0.35">
      <c r="A2" s="122" t="s">
        <v>1122</v>
      </c>
      <c r="B2" s="123"/>
      <c r="C2" s="123"/>
      <c r="D2" s="123"/>
      <c r="E2" s="123"/>
      <c r="F2" s="123"/>
      <c r="G2" s="123"/>
      <c r="H2" s="123"/>
      <c r="I2" s="124"/>
    </row>
    <row r="3" spans="1:9" x14ac:dyDescent="0.3">
      <c r="A3" s="59" t="s">
        <v>112</v>
      </c>
      <c r="B3" s="25" t="s">
        <v>112</v>
      </c>
      <c r="C3" s="25" t="s">
        <v>1123</v>
      </c>
      <c r="D3" s="25" t="s">
        <v>1124</v>
      </c>
      <c r="E3" s="25" t="s">
        <v>650</v>
      </c>
      <c r="F3" s="25" t="s">
        <v>1125</v>
      </c>
      <c r="G3" s="25">
        <v>15</v>
      </c>
      <c r="H3" s="25">
        <v>9</v>
      </c>
      <c r="I3" s="49"/>
    </row>
    <row r="4" spans="1:9" ht="15" thickBot="1" x14ac:dyDescent="0.35">
      <c r="A4" s="60" t="s">
        <v>114</v>
      </c>
      <c r="B4" s="44" t="s">
        <v>114</v>
      </c>
      <c r="C4" s="44" t="s">
        <v>1123</v>
      </c>
      <c r="D4" s="44" t="s">
        <v>1126</v>
      </c>
      <c r="E4" s="44" t="s">
        <v>633</v>
      </c>
      <c r="F4" s="44" t="s">
        <v>1125</v>
      </c>
      <c r="G4" s="44">
        <v>17</v>
      </c>
      <c r="H4" s="44">
        <v>10</v>
      </c>
      <c r="I4" s="53"/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5404-23B3-49B1-8A17-ECDE404605EF}">
  <sheetPr>
    <tabColor theme="0" tint="-0.34998626667073579"/>
  </sheetPr>
  <dimension ref="C2:R21"/>
  <sheetViews>
    <sheetView zoomScale="85" zoomScaleNormal="85" workbookViewId="0">
      <selection activeCell="X22" sqref="X22"/>
    </sheetView>
  </sheetViews>
  <sheetFormatPr defaultColWidth="2.44140625" defaultRowHeight="9.6" customHeight="1" x14ac:dyDescent="0.3"/>
  <cols>
    <col min="1" max="2" width="2.44140625" style="26"/>
    <col min="3" max="3" width="18" style="26" customWidth="1"/>
    <col min="4" max="4" width="4" style="26" customWidth="1"/>
    <col min="5" max="16" width="2.44140625" style="26"/>
    <col min="17" max="17" width="4" style="26" customWidth="1"/>
    <col min="18" max="18" width="18" style="26" customWidth="1"/>
    <col min="19" max="16384" width="2.44140625" style="26"/>
  </cols>
  <sheetData>
    <row r="2" spans="3:18" ht="20.100000000000001" customHeight="1" x14ac:dyDescent="0.3">
      <c r="H2" s="61" t="s">
        <v>1298</v>
      </c>
      <c r="I2" s="61"/>
      <c r="J2" s="61"/>
      <c r="K2" s="61"/>
      <c r="L2" s="61"/>
      <c r="M2" s="61"/>
      <c r="N2" s="61"/>
      <c r="O2" s="61"/>
      <c r="P2" s="61"/>
      <c r="Q2" s="61"/>
    </row>
    <row r="3" spans="3:18" ht="20.100000000000001" customHeight="1" x14ac:dyDescent="0.3">
      <c r="H3" s="62"/>
      <c r="I3" s="62"/>
      <c r="J3" s="62"/>
      <c r="K3" s="62"/>
      <c r="L3" s="62"/>
      <c r="M3" s="62"/>
      <c r="N3" s="62"/>
      <c r="O3" s="62"/>
      <c r="P3" s="62"/>
      <c r="Q3" s="62"/>
    </row>
    <row r="6" spans="3:18" ht="75" customHeight="1" thickBot="1" x14ac:dyDescent="0.35">
      <c r="C6" s="63"/>
      <c r="D6" s="63"/>
      <c r="E6" s="64" t="s">
        <v>576</v>
      </c>
      <c r="F6" s="64" t="s">
        <v>571</v>
      </c>
      <c r="G6" s="64" t="s">
        <v>567</v>
      </c>
      <c r="H6" s="64" t="s">
        <v>561</v>
      </c>
      <c r="I6" s="64" t="s">
        <v>548</v>
      </c>
      <c r="J6" s="64" t="s">
        <v>544</v>
      </c>
      <c r="K6" s="64" t="s">
        <v>539</v>
      </c>
      <c r="L6" s="64" t="s">
        <v>534</v>
      </c>
      <c r="M6" s="64" t="s">
        <v>504</v>
      </c>
      <c r="N6" s="64" t="s">
        <v>499</v>
      </c>
      <c r="O6" s="64" t="s">
        <v>492</v>
      </c>
      <c r="P6" s="64" t="s">
        <v>485</v>
      </c>
      <c r="Q6" s="67"/>
      <c r="R6" s="67"/>
    </row>
    <row r="7" spans="3:18" ht="20.100000000000001" customHeight="1" thickTop="1" x14ac:dyDescent="0.3">
      <c r="C7" s="63"/>
      <c r="D7" s="68"/>
      <c r="E7" s="69">
        <v>48</v>
      </c>
      <c r="F7" s="69">
        <v>47</v>
      </c>
      <c r="G7" s="69">
        <v>46</v>
      </c>
      <c r="H7" s="69">
        <v>45</v>
      </c>
      <c r="I7" s="69">
        <v>44</v>
      </c>
      <c r="J7" s="69">
        <v>43</v>
      </c>
      <c r="K7" s="69">
        <v>42</v>
      </c>
      <c r="L7" s="69">
        <v>41</v>
      </c>
      <c r="M7" s="69">
        <v>40</v>
      </c>
      <c r="N7" s="69">
        <v>39</v>
      </c>
      <c r="O7" s="69">
        <v>38</v>
      </c>
      <c r="P7" s="69">
        <v>37</v>
      </c>
      <c r="Q7" s="70"/>
      <c r="R7" s="67"/>
    </row>
    <row r="8" spans="3:18" ht="14.4" x14ac:dyDescent="0.3">
      <c r="C8" s="71" t="s">
        <v>51</v>
      </c>
      <c r="D8" s="72">
        <v>1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73">
        <v>36</v>
      </c>
      <c r="R8" s="74" t="s">
        <v>452</v>
      </c>
    </row>
    <row r="9" spans="3:18" ht="14.4" x14ac:dyDescent="0.3">
      <c r="C9" s="71" t="s">
        <v>62</v>
      </c>
      <c r="D9" s="72">
        <v>2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73">
        <v>35</v>
      </c>
      <c r="R9" s="74" t="s">
        <v>446</v>
      </c>
    </row>
    <row r="10" spans="3:18" ht="14.4" x14ac:dyDescent="0.3">
      <c r="C10" s="77" t="s">
        <v>102</v>
      </c>
      <c r="D10" s="72">
        <v>3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73">
        <v>34</v>
      </c>
      <c r="R10" s="74" t="s">
        <v>440</v>
      </c>
    </row>
    <row r="11" spans="3:18" ht="14.4" x14ac:dyDescent="0.3">
      <c r="C11" s="78" t="s">
        <v>104</v>
      </c>
      <c r="D11" s="72">
        <v>4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73">
        <v>33</v>
      </c>
      <c r="R11" s="74" t="s">
        <v>433</v>
      </c>
    </row>
    <row r="12" spans="3:18" ht="14.4" x14ac:dyDescent="0.3">
      <c r="C12" s="77" t="s">
        <v>105</v>
      </c>
      <c r="D12" s="72">
        <v>5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73">
        <v>32</v>
      </c>
      <c r="R12" s="74" t="s">
        <v>417</v>
      </c>
    </row>
    <row r="13" spans="3:18" ht="14.4" x14ac:dyDescent="0.3">
      <c r="C13" s="77" t="s">
        <v>107</v>
      </c>
      <c r="D13" s="72">
        <v>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73">
        <v>31</v>
      </c>
      <c r="R13" s="75" t="s">
        <v>105</v>
      </c>
    </row>
    <row r="14" spans="3:18" ht="14.4" x14ac:dyDescent="0.3">
      <c r="C14" s="77" t="s">
        <v>111</v>
      </c>
      <c r="D14" s="72">
        <v>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73">
        <v>30</v>
      </c>
      <c r="R14" s="76" t="s">
        <v>109</v>
      </c>
    </row>
    <row r="15" spans="3:18" ht="14.4" x14ac:dyDescent="0.3">
      <c r="C15" s="78" t="s">
        <v>109</v>
      </c>
      <c r="D15" s="72">
        <v>8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73">
        <v>29</v>
      </c>
      <c r="R15" s="74" t="s">
        <v>380</v>
      </c>
    </row>
    <row r="16" spans="3:18" ht="14.4" x14ac:dyDescent="0.3">
      <c r="C16" s="71" t="s">
        <v>112</v>
      </c>
      <c r="D16" s="72">
        <v>9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73">
        <v>28</v>
      </c>
      <c r="R16" s="74" t="s">
        <v>374</v>
      </c>
    </row>
    <row r="17" spans="3:18" ht="14.4" x14ac:dyDescent="0.3">
      <c r="C17" s="71" t="s">
        <v>114</v>
      </c>
      <c r="D17" s="72">
        <v>10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73">
        <v>27</v>
      </c>
      <c r="R17" s="74" t="s">
        <v>366</v>
      </c>
    </row>
    <row r="18" spans="3:18" ht="14.4" x14ac:dyDescent="0.3">
      <c r="C18" s="71" t="s">
        <v>145</v>
      </c>
      <c r="D18" s="72">
        <v>11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73">
        <v>26</v>
      </c>
      <c r="R18" s="74" t="s">
        <v>358</v>
      </c>
    </row>
    <row r="19" spans="3:18" ht="14.4" x14ac:dyDescent="0.3">
      <c r="C19" s="71" t="s">
        <v>156</v>
      </c>
      <c r="D19" s="72">
        <v>12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73">
        <v>25</v>
      </c>
      <c r="R19" s="74" t="s">
        <v>351</v>
      </c>
    </row>
    <row r="20" spans="3:18" ht="20.100000000000001" customHeight="1" thickBot="1" x14ac:dyDescent="0.35">
      <c r="C20" s="63"/>
      <c r="D20" s="79"/>
      <c r="E20" s="80">
        <v>13</v>
      </c>
      <c r="F20" s="80">
        <v>14</v>
      </c>
      <c r="G20" s="80">
        <v>15</v>
      </c>
      <c r="H20" s="80">
        <v>16</v>
      </c>
      <c r="I20" s="80">
        <v>17</v>
      </c>
      <c r="J20" s="80">
        <v>18</v>
      </c>
      <c r="K20" s="80">
        <v>19</v>
      </c>
      <c r="L20" s="80">
        <v>20</v>
      </c>
      <c r="M20" s="80">
        <v>21</v>
      </c>
      <c r="N20" s="80">
        <v>22</v>
      </c>
      <c r="O20" s="80">
        <v>23</v>
      </c>
      <c r="P20" s="80">
        <v>24</v>
      </c>
      <c r="Q20" s="81"/>
      <c r="R20" s="67"/>
    </row>
    <row r="21" spans="3:18" ht="75" customHeight="1" thickTop="1" x14ac:dyDescent="0.3">
      <c r="C21" s="63"/>
      <c r="D21" s="63"/>
      <c r="E21" s="82" t="s">
        <v>178</v>
      </c>
      <c r="F21" s="82" t="s">
        <v>186</v>
      </c>
      <c r="G21" s="82" t="s">
        <v>195</v>
      </c>
      <c r="H21" s="82" t="s">
        <v>202</v>
      </c>
      <c r="I21" s="83" t="s">
        <v>209</v>
      </c>
      <c r="J21" s="82" t="s">
        <v>231</v>
      </c>
      <c r="K21" s="82" t="s">
        <v>248</v>
      </c>
      <c r="L21" s="82" t="s">
        <v>275</v>
      </c>
      <c r="M21" s="82" t="s">
        <v>282</v>
      </c>
      <c r="N21" s="82" t="s">
        <v>290</v>
      </c>
      <c r="O21" s="82" t="s">
        <v>300</v>
      </c>
      <c r="P21" s="82" t="s">
        <v>309</v>
      </c>
      <c r="Q21" s="67"/>
      <c r="R21" s="67"/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5C7C-5593-421E-8F36-F610CABFD471}">
  <sheetPr>
    <tabColor theme="0" tint="-0.34998626667073579"/>
  </sheetPr>
  <dimension ref="C2:AE34"/>
  <sheetViews>
    <sheetView zoomScale="85" zoomScaleNormal="85" workbookViewId="0">
      <selection activeCell="AX13" sqref="AX13"/>
    </sheetView>
  </sheetViews>
  <sheetFormatPr defaultColWidth="2.44140625" defaultRowHeight="9.6" customHeight="1" x14ac:dyDescent="0.3"/>
  <cols>
    <col min="1" max="2" width="2.44140625" style="26"/>
    <col min="3" max="3" width="18" style="26" customWidth="1"/>
    <col min="4" max="4" width="4" style="26" customWidth="1"/>
    <col min="5" max="29" width="2.44140625" style="26"/>
    <col min="30" max="30" width="4" style="26" customWidth="1"/>
    <col min="31" max="31" width="18" style="26" customWidth="1"/>
    <col min="32" max="16384" width="2.44140625" style="26"/>
  </cols>
  <sheetData>
    <row r="2" spans="3:31" ht="20.100000000000001" customHeight="1" x14ac:dyDescent="0.3">
      <c r="H2" s="61" t="s">
        <v>1299</v>
      </c>
      <c r="I2" s="61"/>
      <c r="J2" s="61"/>
      <c r="K2" s="61"/>
      <c r="L2" s="61"/>
      <c r="M2" s="61"/>
      <c r="N2" s="61"/>
      <c r="O2" s="61"/>
      <c r="P2" s="61"/>
      <c r="Q2" s="61"/>
    </row>
    <row r="3" spans="3:31" ht="20.100000000000001" customHeight="1" x14ac:dyDescent="0.3">
      <c r="H3" s="62"/>
      <c r="I3" s="62"/>
      <c r="J3" s="62"/>
      <c r="K3" s="62"/>
      <c r="L3" s="62"/>
      <c r="M3" s="62"/>
      <c r="N3" s="62"/>
      <c r="O3" s="62"/>
      <c r="P3" s="62"/>
      <c r="Q3" s="62"/>
    </row>
    <row r="6" spans="3:31" ht="75" customHeight="1" thickBot="1" x14ac:dyDescent="0.35">
      <c r="C6" s="63"/>
      <c r="D6" s="63"/>
      <c r="E6" s="64" t="s">
        <v>585</v>
      </c>
      <c r="F6" s="64" t="s">
        <v>581</v>
      </c>
      <c r="G6" s="64" t="s">
        <v>576</v>
      </c>
      <c r="H6" s="64" t="s">
        <v>571</v>
      </c>
      <c r="I6" s="64" t="s">
        <v>567</v>
      </c>
      <c r="J6" s="64" t="s">
        <v>561</v>
      </c>
      <c r="K6" s="64" t="s">
        <v>557</v>
      </c>
      <c r="L6" s="64" t="s">
        <v>553</v>
      </c>
      <c r="M6" s="64" t="s">
        <v>548</v>
      </c>
      <c r="N6" s="64" t="s">
        <v>544</v>
      </c>
      <c r="O6" s="64" t="s">
        <v>539</v>
      </c>
      <c r="P6" s="64" t="s">
        <v>534</v>
      </c>
      <c r="Q6" s="64" t="s">
        <v>530</v>
      </c>
      <c r="R6" s="65" t="s">
        <v>105</v>
      </c>
      <c r="S6" s="66" t="s">
        <v>109</v>
      </c>
      <c r="T6" s="64" t="s">
        <v>526</v>
      </c>
      <c r="U6" s="64" t="s">
        <v>522</v>
      </c>
      <c r="V6" s="64" t="s">
        <v>516</v>
      </c>
      <c r="W6" s="64" t="s">
        <v>508</v>
      </c>
      <c r="X6" s="64" t="s">
        <v>504</v>
      </c>
      <c r="Y6" s="64" t="s">
        <v>499</v>
      </c>
      <c r="Z6" s="64" t="s">
        <v>492</v>
      </c>
      <c r="AA6" s="64" t="s">
        <v>485</v>
      </c>
      <c r="AB6" s="64" t="s">
        <v>478</v>
      </c>
      <c r="AC6" s="64" t="s">
        <v>471</v>
      </c>
      <c r="AD6" s="67"/>
      <c r="AE6" s="67"/>
    </row>
    <row r="7" spans="3:31" ht="20.100000000000001" customHeight="1" thickTop="1" x14ac:dyDescent="0.3">
      <c r="C7" s="63"/>
      <c r="D7" s="68"/>
      <c r="E7" s="69">
        <v>100</v>
      </c>
      <c r="F7" s="69">
        <v>99</v>
      </c>
      <c r="G7" s="69">
        <v>98</v>
      </c>
      <c r="H7" s="69">
        <v>97</v>
      </c>
      <c r="I7" s="69">
        <v>96</v>
      </c>
      <c r="J7" s="69">
        <v>95</v>
      </c>
      <c r="K7" s="69">
        <v>94</v>
      </c>
      <c r="L7" s="69">
        <v>93</v>
      </c>
      <c r="M7" s="69">
        <v>92</v>
      </c>
      <c r="N7" s="69">
        <v>91</v>
      </c>
      <c r="O7" s="69">
        <v>90</v>
      </c>
      <c r="P7" s="69">
        <v>89</v>
      </c>
      <c r="Q7" s="69">
        <v>88</v>
      </c>
      <c r="R7" s="69">
        <v>87</v>
      </c>
      <c r="S7" s="69">
        <v>86</v>
      </c>
      <c r="T7" s="69">
        <v>85</v>
      </c>
      <c r="U7" s="69">
        <v>84</v>
      </c>
      <c r="V7" s="69">
        <v>83</v>
      </c>
      <c r="W7" s="69">
        <v>82</v>
      </c>
      <c r="X7" s="69">
        <v>81</v>
      </c>
      <c r="Y7" s="69">
        <v>80</v>
      </c>
      <c r="Z7" s="69">
        <v>79</v>
      </c>
      <c r="AA7" s="69">
        <v>78</v>
      </c>
      <c r="AB7" s="69">
        <v>77</v>
      </c>
      <c r="AC7" s="69">
        <v>76</v>
      </c>
      <c r="AD7" s="70"/>
      <c r="AE7" s="67"/>
    </row>
    <row r="8" spans="3:31" ht="14.4" x14ac:dyDescent="0.3">
      <c r="C8" s="71" t="s">
        <v>23</v>
      </c>
      <c r="D8" s="72">
        <v>1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73">
        <v>75</v>
      </c>
      <c r="AE8" s="74" t="s">
        <v>465</v>
      </c>
    </row>
    <row r="9" spans="3:31" ht="14.4" x14ac:dyDescent="0.3">
      <c r="C9" s="71" t="s">
        <v>38</v>
      </c>
      <c r="D9" s="72">
        <v>2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73">
        <v>74</v>
      </c>
      <c r="AE9" s="74" t="s">
        <v>458</v>
      </c>
    </row>
    <row r="10" spans="3:31" ht="14.4" x14ac:dyDescent="0.3">
      <c r="C10" s="71" t="s">
        <v>51</v>
      </c>
      <c r="D10" s="72">
        <v>3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73">
        <v>73</v>
      </c>
      <c r="AE10" s="74" t="s">
        <v>452</v>
      </c>
    </row>
    <row r="11" spans="3:31" ht="14.4" x14ac:dyDescent="0.3">
      <c r="C11" s="71" t="s">
        <v>62</v>
      </c>
      <c r="D11" s="72">
        <v>4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73">
        <v>72</v>
      </c>
      <c r="AE11" s="74" t="s">
        <v>446</v>
      </c>
    </row>
    <row r="12" spans="3:31" ht="14.4" x14ac:dyDescent="0.3">
      <c r="C12" s="71" t="s">
        <v>74</v>
      </c>
      <c r="D12" s="72">
        <v>5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73">
        <v>71</v>
      </c>
      <c r="AE12" s="74" t="s">
        <v>440</v>
      </c>
    </row>
    <row r="13" spans="3:31" ht="14.4" x14ac:dyDescent="0.3">
      <c r="C13" s="71" t="s">
        <v>85</v>
      </c>
      <c r="D13" s="72">
        <v>6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73">
        <v>70</v>
      </c>
      <c r="AE13" s="74" t="s">
        <v>433</v>
      </c>
    </row>
    <row r="14" spans="3:31" ht="14.4" x14ac:dyDescent="0.3">
      <c r="C14" s="71" t="s">
        <v>95</v>
      </c>
      <c r="D14" s="72">
        <v>7</v>
      </c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73">
        <v>69</v>
      </c>
      <c r="AE14" s="74" t="s">
        <v>427</v>
      </c>
    </row>
    <row r="15" spans="3:31" ht="14.4" x14ac:dyDescent="0.3">
      <c r="C15" s="77" t="s">
        <v>102</v>
      </c>
      <c r="D15" s="72">
        <v>8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73">
        <v>68</v>
      </c>
      <c r="AE15" s="74" t="s">
        <v>422</v>
      </c>
    </row>
    <row r="16" spans="3:31" ht="14.4" x14ac:dyDescent="0.3">
      <c r="C16" s="78" t="s">
        <v>104</v>
      </c>
      <c r="D16" s="72">
        <v>9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73">
        <v>67</v>
      </c>
      <c r="AE16" s="74" t="s">
        <v>417</v>
      </c>
    </row>
    <row r="17" spans="3:31" ht="14.4" x14ac:dyDescent="0.3">
      <c r="C17" s="77" t="s">
        <v>105</v>
      </c>
      <c r="D17" s="72">
        <v>10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73">
        <v>66</v>
      </c>
      <c r="AE17" s="74" t="s">
        <v>411</v>
      </c>
    </row>
    <row r="18" spans="3:31" ht="14.4" x14ac:dyDescent="0.3">
      <c r="C18" s="77" t="s">
        <v>107</v>
      </c>
      <c r="D18" s="72">
        <v>11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73">
        <v>65</v>
      </c>
      <c r="AE18" s="74" t="s">
        <v>406</v>
      </c>
    </row>
    <row r="19" spans="3:31" ht="14.4" x14ac:dyDescent="0.3">
      <c r="C19" s="78" t="s">
        <v>109</v>
      </c>
      <c r="D19" s="72">
        <v>12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73">
        <v>64</v>
      </c>
      <c r="AE19" s="74" t="s">
        <v>401</v>
      </c>
    </row>
    <row r="20" spans="3:31" ht="14.4" x14ac:dyDescent="0.3">
      <c r="C20" s="77" t="s">
        <v>111</v>
      </c>
      <c r="D20" s="72">
        <v>13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73">
        <v>63</v>
      </c>
      <c r="AE20" s="74" t="s">
        <v>395</v>
      </c>
    </row>
    <row r="21" spans="3:31" ht="14.4" x14ac:dyDescent="0.3">
      <c r="C21" s="78" t="s">
        <v>109</v>
      </c>
      <c r="D21" s="72">
        <v>14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73">
        <v>62</v>
      </c>
      <c r="AE21" s="75" t="s">
        <v>105</v>
      </c>
    </row>
    <row r="22" spans="3:31" ht="14.4" x14ac:dyDescent="0.3">
      <c r="C22" s="71" t="s">
        <v>112</v>
      </c>
      <c r="D22" s="72">
        <v>15</v>
      </c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73">
        <v>61</v>
      </c>
      <c r="AE22" s="76" t="s">
        <v>109</v>
      </c>
    </row>
    <row r="23" spans="3:31" ht="14.4" x14ac:dyDescent="0.3">
      <c r="C23" s="78" t="s">
        <v>109</v>
      </c>
      <c r="D23" s="72">
        <v>16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73">
        <v>60</v>
      </c>
      <c r="AE23" s="75" t="s">
        <v>111</v>
      </c>
    </row>
    <row r="24" spans="3:31" ht="14.4" x14ac:dyDescent="0.3">
      <c r="C24" s="71" t="s">
        <v>114</v>
      </c>
      <c r="D24" s="72">
        <v>17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73">
        <v>59</v>
      </c>
      <c r="AE24" s="74" t="s">
        <v>392</v>
      </c>
    </row>
    <row r="25" spans="3:31" ht="14.4" x14ac:dyDescent="0.3">
      <c r="C25" s="71" t="s">
        <v>115</v>
      </c>
      <c r="D25" s="72">
        <v>18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73">
        <v>58</v>
      </c>
      <c r="AE25" s="74" t="s">
        <v>385</v>
      </c>
    </row>
    <row r="26" spans="3:31" ht="14.4" x14ac:dyDescent="0.3">
      <c r="C26" s="71" t="s">
        <v>123</v>
      </c>
      <c r="D26" s="72">
        <v>19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73">
        <v>57</v>
      </c>
      <c r="AE26" s="74" t="s">
        <v>380</v>
      </c>
    </row>
    <row r="27" spans="3:31" ht="14.4" x14ac:dyDescent="0.3">
      <c r="C27" s="71" t="s">
        <v>131</v>
      </c>
      <c r="D27" s="72">
        <v>20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73">
        <v>56</v>
      </c>
      <c r="AE27" s="74" t="s">
        <v>374</v>
      </c>
    </row>
    <row r="28" spans="3:31" ht="14.4" x14ac:dyDescent="0.3">
      <c r="C28" s="71" t="s">
        <v>139</v>
      </c>
      <c r="D28" s="72">
        <v>21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73">
        <v>55</v>
      </c>
      <c r="AE28" s="74" t="s">
        <v>366</v>
      </c>
    </row>
    <row r="29" spans="3:31" ht="14.4" x14ac:dyDescent="0.3">
      <c r="C29" s="71" t="s">
        <v>145</v>
      </c>
      <c r="D29" s="72">
        <v>22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73">
        <v>54</v>
      </c>
      <c r="AE29" s="74" t="s">
        <v>358</v>
      </c>
    </row>
    <row r="30" spans="3:31" ht="14.4" x14ac:dyDescent="0.3">
      <c r="C30" s="71" t="s">
        <v>156</v>
      </c>
      <c r="D30" s="72">
        <v>23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73">
        <v>53</v>
      </c>
      <c r="AE30" s="74" t="s">
        <v>351</v>
      </c>
    </row>
    <row r="31" spans="3:31" ht="14.4" x14ac:dyDescent="0.3">
      <c r="C31" s="71" t="s">
        <v>163</v>
      </c>
      <c r="D31" s="72">
        <v>24</v>
      </c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73">
        <v>52</v>
      </c>
      <c r="AE31" s="74" t="s">
        <v>341</v>
      </c>
    </row>
    <row r="32" spans="3:31" ht="14.4" x14ac:dyDescent="0.3">
      <c r="C32" s="71" t="s">
        <v>171</v>
      </c>
      <c r="D32" s="72">
        <v>25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73">
        <v>51</v>
      </c>
      <c r="AE32" s="74" t="s">
        <v>331</v>
      </c>
    </row>
    <row r="33" spans="3:31" ht="20.100000000000001" customHeight="1" thickBot="1" x14ac:dyDescent="0.35">
      <c r="C33" s="63"/>
      <c r="D33" s="79"/>
      <c r="E33" s="80">
        <v>26</v>
      </c>
      <c r="F33" s="80">
        <v>27</v>
      </c>
      <c r="G33" s="80">
        <v>28</v>
      </c>
      <c r="H33" s="80">
        <v>29</v>
      </c>
      <c r="I33" s="80">
        <v>30</v>
      </c>
      <c r="J33" s="80">
        <v>31</v>
      </c>
      <c r="K33" s="80">
        <v>32</v>
      </c>
      <c r="L33" s="80">
        <v>33</v>
      </c>
      <c r="M33" s="80">
        <v>34</v>
      </c>
      <c r="N33" s="80">
        <v>35</v>
      </c>
      <c r="O33" s="80">
        <v>36</v>
      </c>
      <c r="P33" s="80">
        <v>37</v>
      </c>
      <c r="Q33" s="80">
        <v>38</v>
      </c>
      <c r="R33" s="80">
        <v>39</v>
      </c>
      <c r="S33" s="80">
        <v>40</v>
      </c>
      <c r="T33" s="80">
        <v>41</v>
      </c>
      <c r="U33" s="80">
        <v>42</v>
      </c>
      <c r="V33" s="80">
        <v>43</v>
      </c>
      <c r="W33" s="80">
        <v>44</v>
      </c>
      <c r="X33" s="80">
        <v>45</v>
      </c>
      <c r="Y33" s="80">
        <v>46</v>
      </c>
      <c r="Z33" s="80">
        <v>47</v>
      </c>
      <c r="AA33" s="80">
        <v>48</v>
      </c>
      <c r="AB33" s="80">
        <v>49</v>
      </c>
      <c r="AC33" s="80">
        <v>50</v>
      </c>
      <c r="AD33" s="81"/>
      <c r="AE33" s="67"/>
    </row>
    <row r="34" spans="3:31" ht="75" customHeight="1" thickTop="1" x14ac:dyDescent="0.3">
      <c r="C34" s="63"/>
      <c r="D34" s="63"/>
      <c r="E34" s="82" t="s">
        <v>178</v>
      </c>
      <c r="F34" s="82" t="s">
        <v>186</v>
      </c>
      <c r="G34" s="82" t="s">
        <v>195</v>
      </c>
      <c r="H34" s="82" t="s">
        <v>202</v>
      </c>
      <c r="I34" s="83" t="s">
        <v>209</v>
      </c>
      <c r="J34" s="83" t="s">
        <v>219</v>
      </c>
      <c r="K34" s="82" t="s">
        <v>225</v>
      </c>
      <c r="L34" s="82" t="s">
        <v>231</v>
      </c>
      <c r="M34" s="83" t="s">
        <v>235</v>
      </c>
      <c r="N34" s="83" t="s">
        <v>240</v>
      </c>
      <c r="O34" s="83" t="s">
        <v>244</v>
      </c>
      <c r="P34" s="84" t="s">
        <v>105</v>
      </c>
      <c r="Q34" s="85" t="s">
        <v>109</v>
      </c>
      <c r="R34" s="82" t="s">
        <v>248</v>
      </c>
      <c r="S34" s="82" t="s">
        <v>253</v>
      </c>
      <c r="T34" s="82" t="s">
        <v>258</v>
      </c>
      <c r="U34" s="82" t="s">
        <v>264</v>
      </c>
      <c r="V34" s="82" t="s">
        <v>269</v>
      </c>
      <c r="W34" s="82" t="s">
        <v>275</v>
      </c>
      <c r="X34" s="82" t="s">
        <v>282</v>
      </c>
      <c r="Y34" s="82" t="s">
        <v>290</v>
      </c>
      <c r="Z34" s="82" t="s">
        <v>300</v>
      </c>
      <c r="AA34" s="82" t="s">
        <v>309</v>
      </c>
      <c r="AB34" s="82" t="s">
        <v>317</v>
      </c>
      <c r="AC34" s="82" t="s">
        <v>324</v>
      </c>
      <c r="AD34" s="67"/>
      <c r="AE34" s="67"/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D793-CF35-4EA1-8B22-773D830498C5}">
  <sheetPr>
    <tabColor theme="0" tint="-0.34998626667073579"/>
  </sheetPr>
  <dimension ref="A1:D817"/>
  <sheetViews>
    <sheetView zoomScale="70" zoomScaleNormal="70" workbookViewId="0">
      <selection activeCell="Q65" sqref="Q65"/>
    </sheetView>
  </sheetViews>
  <sheetFormatPr defaultColWidth="8.6640625" defaultRowHeight="14.4" x14ac:dyDescent="0.3"/>
  <cols>
    <col min="1" max="1" width="36.44140625" style="26" customWidth="1"/>
    <col min="2" max="2" width="33.5546875" style="26" customWidth="1"/>
    <col min="3" max="3" width="25.88671875" style="26" customWidth="1"/>
    <col min="4" max="4" width="4.5546875" style="26" customWidth="1"/>
    <col min="5" max="16384" width="8.6640625" style="26"/>
  </cols>
  <sheetData>
    <row r="1" spans="1:4" x14ac:dyDescent="0.3">
      <c r="A1" s="86" t="s">
        <v>1297</v>
      </c>
      <c r="B1" s="86" t="s">
        <v>1296</v>
      </c>
      <c r="C1" s="86" t="s">
        <v>648</v>
      </c>
      <c r="D1" s="86"/>
    </row>
    <row r="2" spans="1:4" x14ac:dyDescent="0.3">
      <c r="A2" s="27"/>
      <c r="B2" s="25">
        <v>1</v>
      </c>
      <c r="C2" s="25" t="s">
        <v>1065</v>
      </c>
      <c r="D2" s="25" t="s">
        <v>650</v>
      </c>
    </row>
    <row r="3" spans="1:4" x14ac:dyDescent="0.3">
      <c r="A3" s="27"/>
      <c r="B3" s="25">
        <v>2</v>
      </c>
      <c r="C3" s="25" t="s">
        <v>45</v>
      </c>
      <c r="D3" s="25" t="s">
        <v>650</v>
      </c>
    </row>
    <row r="4" spans="1:4" x14ac:dyDescent="0.3">
      <c r="A4" s="25">
        <v>1</v>
      </c>
      <c r="B4" s="25">
        <v>3</v>
      </c>
      <c r="C4" s="25" t="s">
        <v>58</v>
      </c>
      <c r="D4" s="25" t="s">
        <v>650</v>
      </c>
    </row>
    <row r="5" spans="1:4" x14ac:dyDescent="0.3">
      <c r="A5" s="25">
        <v>2</v>
      </c>
      <c r="B5" s="25">
        <v>4</v>
      </c>
      <c r="C5" s="25" t="s">
        <v>1001</v>
      </c>
      <c r="D5" s="25" t="s">
        <v>650</v>
      </c>
    </row>
    <row r="6" spans="1:4" x14ac:dyDescent="0.3">
      <c r="A6" s="27"/>
      <c r="B6" s="25">
        <v>5</v>
      </c>
      <c r="C6" s="25" t="s">
        <v>1058</v>
      </c>
      <c r="D6" s="25" t="s">
        <v>650</v>
      </c>
    </row>
    <row r="7" spans="1:4" x14ac:dyDescent="0.3">
      <c r="A7" s="27"/>
      <c r="B7" s="25">
        <v>6</v>
      </c>
      <c r="C7" s="25" t="s">
        <v>93</v>
      </c>
      <c r="D7" s="25" t="s">
        <v>650</v>
      </c>
    </row>
    <row r="8" spans="1:4" x14ac:dyDescent="0.3">
      <c r="A8" s="25">
        <v>20</v>
      </c>
      <c r="B8" s="25">
        <v>44</v>
      </c>
      <c r="C8" s="25" t="s">
        <v>279</v>
      </c>
      <c r="D8" s="25" t="s">
        <v>650</v>
      </c>
    </row>
    <row r="9" spans="1:4" x14ac:dyDescent="0.3">
      <c r="A9" s="25">
        <v>21</v>
      </c>
      <c r="B9" s="25">
        <v>45</v>
      </c>
      <c r="C9" s="25" t="s">
        <v>1127</v>
      </c>
      <c r="D9" s="25" t="s">
        <v>633</v>
      </c>
    </row>
    <row r="10" spans="1:4" x14ac:dyDescent="0.3">
      <c r="A10" s="25">
        <v>22</v>
      </c>
      <c r="B10" s="25">
        <v>46</v>
      </c>
      <c r="C10" s="25" t="s">
        <v>1128</v>
      </c>
      <c r="D10" s="25" t="s">
        <v>633</v>
      </c>
    </row>
    <row r="11" spans="1:4" x14ac:dyDescent="0.3">
      <c r="A11" s="25">
        <v>23</v>
      </c>
      <c r="B11" s="25">
        <v>47</v>
      </c>
      <c r="C11" s="25" t="s">
        <v>304</v>
      </c>
      <c r="D11" s="25" t="s">
        <v>633</v>
      </c>
    </row>
    <row r="12" spans="1:4" x14ac:dyDescent="0.3">
      <c r="A12" s="27"/>
      <c r="B12" s="25">
        <v>51</v>
      </c>
      <c r="C12" s="25" t="s">
        <v>905</v>
      </c>
      <c r="D12" s="25" t="s">
        <v>650</v>
      </c>
    </row>
    <row r="13" spans="1:4" x14ac:dyDescent="0.3">
      <c r="A13" s="25">
        <v>25</v>
      </c>
      <c r="B13" s="25">
        <v>53</v>
      </c>
      <c r="C13" s="25" t="s">
        <v>850</v>
      </c>
      <c r="D13" s="25" t="s">
        <v>650</v>
      </c>
    </row>
    <row r="14" spans="1:4" x14ac:dyDescent="0.3">
      <c r="A14" s="25">
        <v>26</v>
      </c>
      <c r="B14" s="25">
        <v>54</v>
      </c>
      <c r="C14" s="25" t="s">
        <v>279</v>
      </c>
      <c r="D14" s="25" t="s">
        <v>650</v>
      </c>
    </row>
    <row r="15" spans="1:4" x14ac:dyDescent="0.3">
      <c r="A15" s="25">
        <v>27</v>
      </c>
      <c r="B15" s="25">
        <v>55</v>
      </c>
      <c r="C15" s="25" t="s">
        <v>287</v>
      </c>
      <c r="D15" s="25" t="s">
        <v>650</v>
      </c>
    </row>
    <row r="16" spans="1:4" x14ac:dyDescent="0.3">
      <c r="A16" s="25">
        <v>28</v>
      </c>
      <c r="B16" s="25">
        <v>56</v>
      </c>
      <c r="C16" s="25" t="s">
        <v>296</v>
      </c>
      <c r="D16" s="25" t="s">
        <v>650</v>
      </c>
    </row>
    <row r="17" spans="1:4" x14ac:dyDescent="0.3">
      <c r="A17" s="25">
        <v>29</v>
      </c>
      <c r="B17" s="25">
        <v>57</v>
      </c>
      <c r="C17" s="25" t="s">
        <v>382</v>
      </c>
      <c r="D17" s="25" t="s">
        <v>650</v>
      </c>
    </row>
    <row r="18" spans="1:4" x14ac:dyDescent="0.3">
      <c r="A18" s="27"/>
      <c r="B18" s="25">
        <v>58</v>
      </c>
      <c r="C18" s="25" t="s">
        <v>727</v>
      </c>
      <c r="D18" s="25" t="s">
        <v>650</v>
      </c>
    </row>
    <row r="19" spans="1:4" x14ac:dyDescent="0.3">
      <c r="A19" s="27"/>
      <c r="B19" s="25">
        <v>66</v>
      </c>
      <c r="C19" s="25" t="s">
        <v>664</v>
      </c>
      <c r="D19" s="25" t="s">
        <v>650</v>
      </c>
    </row>
    <row r="20" spans="1:4" x14ac:dyDescent="0.3">
      <c r="A20" s="25">
        <v>32</v>
      </c>
      <c r="B20" s="25">
        <v>67</v>
      </c>
      <c r="C20" s="25" t="s">
        <v>497</v>
      </c>
      <c r="D20" s="25" t="s">
        <v>650</v>
      </c>
    </row>
    <row r="21" spans="1:4" x14ac:dyDescent="0.3">
      <c r="A21" s="27"/>
      <c r="B21" s="25">
        <v>68</v>
      </c>
      <c r="C21" s="25" t="s">
        <v>905</v>
      </c>
      <c r="D21" s="25" t="s">
        <v>650</v>
      </c>
    </row>
    <row r="22" spans="1:4" x14ac:dyDescent="0.3">
      <c r="A22" s="27"/>
      <c r="B22" s="25">
        <v>69</v>
      </c>
      <c r="C22" s="25" t="s">
        <v>1018</v>
      </c>
      <c r="D22" s="25" t="s">
        <v>650</v>
      </c>
    </row>
    <row r="23" spans="1:4" x14ac:dyDescent="0.3">
      <c r="A23" s="25">
        <v>33</v>
      </c>
      <c r="B23" s="25">
        <v>70</v>
      </c>
      <c r="C23" s="25" t="s">
        <v>1014</v>
      </c>
      <c r="D23" s="25" t="s">
        <v>650</v>
      </c>
    </row>
    <row r="24" spans="1:4" x14ac:dyDescent="0.3">
      <c r="A24" s="25">
        <v>34</v>
      </c>
      <c r="B24" s="25">
        <v>71</v>
      </c>
      <c r="C24" s="25" t="s">
        <v>1007</v>
      </c>
      <c r="D24" s="25" t="s">
        <v>650</v>
      </c>
    </row>
    <row r="25" spans="1:4" x14ac:dyDescent="0.3">
      <c r="A25" s="27"/>
      <c r="B25" s="25">
        <v>74</v>
      </c>
      <c r="C25" s="25" t="s">
        <v>895</v>
      </c>
      <c r="D25" s="25" t="s">
        <v>650</v>
      </c>
    </row>
    <row r="26" spans="1:4" x14ac:dyDescent="0.3">
      <c r="A26" s="27"/>
      <c r="B26" s="25">
        <v>75</v>
      </c>
      <c r="C26" s="25" t="s">
        <v>469</v>
      </c>
      <c r="D26" s="25" t="s">
        <v>650</v>
      </c>
    </row>
    <row r="27" spans="1:4" x14ac:dyDescent="0.3">
      <c r="A27" s="27"/>
      <c r="B27" s="25">
        <v>76</v>
      </c>
      <c r="C27" s="25" t="s">
        <v>886</v>
      </c>
      <c r="D27" s="25" t="s">
        <v>650</v>
      </c>
    </row>
    <row r="28" spans="1:4" x14ac:dyDescent="0.3">
      <c r="A28" s="27"/>
      <c r="B28" s="25">
        <v>77</v>
      </c>
      <c r="C28" s="25" t="s">
        <v>879</v>
      </c>
      <c r="D28" s="25" t="s">
        <v>650</v>
      </c>
    </row>
    <row r="29" spans="1:4" x14ac:dyDescent="0.3">
      <c r="A29" s="25">
        <v>37</v>
      </c>
      <c r="B29" s="25">
        <v>78</v>
      </c>
      <c r="C29" s="25" t="s">
        <v>664</v>
      </c>
      <c r="D29" s="25" t="s">
        <v>650</v>
      </c>
    </row>
    <row r="30" spans="1:4" x14ac:dyDescent="0.3">
      <c r="A30" s="25">
        <v>38</v>
      </c>
      <c r="B30" s="25">
        <v>79</v>
      </c>
      <c r="C30" s="25" t="s">
        <v>497</v>
      </c>
      <c r="D30" s="25" t="s">
        <v>650</v>
      </c>
    </row>
    <row r="31" spans="1:4" x14ac:dyDescent="0.3">
      <c r="A31" s="25">
        <v>40</v>
      </c>
      <c r="B31" s="25">
        <v>81</v>
      </c>
      <c r="C31" s="25" t="s">
        <v>285</v>
      </c>
      <c r="D31" s="25" t="s">
        <v>633</v>
      </c>
    </row>
    <row r="32" spans="1:4" x14ac:dyDescent="0.3">
      <c r="A32" s="27"/>
      <c r="B32" s="25">
        <v>84</v>
      </c>
      <c r="C32" s="25" t="s">
        <v>293</v>
      </c>
      <c r="D32" s="25" t="s">
        <v>633</v>
      </c>
    </row>
    <row r="33" spans="1:4" x14ac:dyDescent="0.3">
      <c r="A33" s="27"/>
      <c r="B33" s="25">
        <v>85</v>
      </c>
      <c r="C33" s="25" t="s">
        <v>304</v>
      </c>
      <c r="D33" s="25" t="s">
        <v>633</v>
      </c>
    </row>
    <row r="34" spans="1:4" x14ac:dyDescent="0.3">
      <c r="A34" s="25">
        <v>44</v>
      </c>
      <c r="B34" s="25">
        <v>92</v>
      </c>
      <c r="C34" s="25" t="s">
        <v>755</v>
      </c>
      <c r="D34" s="25" t="s">
        <v>650</v>
      </c>
    </row>
    <row r="35" spans="1:4" x14ac:dyDescent="0.3">
      <c r="A35" s="27"/>
      <c r="B35" s="25">
        <v>99</v>
      </c>
      <c r="C35" s="25" t="s">
        <v>765</v>
      </c>
      <c r="D35" s="25" t="s">
        <v>650</v>
      </c>
    </row>
    <row r="36" spans="1:4" x14ac:dyDescent="0.3">
      <c r="A36" s="27"/>
      <c r="B36" s="25">
        <v>100</v>
      </c>
      <c r="C36" s="25" t="s">
        <v>755</v>
      </c>
      <c r="D36" s="25" t="s">
        <v>650</v>
      </c>
    </row>
    <row r="37" spans="1:4" x14ac:dyDescent="0.3">
      <c r="A37" s="25">
        <v>3</v>
      </c>
      <c r="B37" s="25">
        <v>8</v>
      </c>
      <c r="C37" s="25" t="s">
        <v>102</v>
      </c>
      <c r="D37" s="25" t="s">
        <v>626</v>
      </c>
    </row>
    <row r="38" spans="1:4" x14ac:dyDescent="0.3">
      <c r="A38" s="25">
        <v>4</v>
      </c>
      <c r="B38" s="25">
        <v>9</v>
      </c>
      <c r="C38" s="25" t="s">
        <v>104</v>
      </c>
      <c r="D38" s="25" t="s">
        <v>626</v>
      </c>
    </row>
    <row r="42" spans="1:4" x14ac:dyDescent="0.3">
      <c r="A42" s="86" t="s">
        <v>1297</v>
      </c>
      <c r="B42" s="86" t="s">
        <v>1296</v>
      </c>
      <c r="C42" s="86" t="s">
        <v>677</v>
      </c>
      <c r="D42" s="86"/>
    </row>
    <row r="43" spans="1:4" x14ac:dyDescent="0.3">
      <c r="A43" s="27"/>
      <c r="B43" s="25">
        <v>7</v>
      </c>
      <c r="C43" s="25" t="s">
        <v>1061</v>
      </c>
      <c r="D43" s="25" t="s">
        <v>650</v>
      </c>
    </row>
    <row r="44" spans="1:4" x14ac:dyDescent="0.3">
      <c r="A44" s="25">
        <v>24</v>
      </c>
      <c r="B44" s="25">
        <v>48</v>
      </c>
      <c r="C44" s="25" t="s">
        <v>311</v>
      </c>
      <c r="D44" s="25" t="s">
        <v>633</v>
      </c>
    </row>
    <row r="45" spans="1:4" x14ac:dyDescent="0.3">
      <c r="A45" s="27"/>
      <c r="B45" s="25">
        <v>49</v>
      </c>
      <c r="C45" s="25" t="s">
        <v>320</v>
      </c>
      <c r="D45" s="25" t="s">
        <v>633</v>
      </c>
    </row>
    <row r="46" spans="1:4" x14ac:dyDescent="0.3">
      <c r="A46" s="27"/>
      <c r="B46" s="25">
        <v>50</v>
      </c>
      <c r="C46" s="25" t="s">
        <v>326</v>
      </c>
      <c r="D46" s="25" t="s">
        <v>633</v>
      </c>
    </row>
    <row r="47" spans="1:4" x14ac:dyDescent="0.3">
      <c r="A47" s="27"/>
      <c r="B47" s="25">
        <v>52</v>
      </c>
      <c r="C47" s="25" t="s">
        <v>346</v>
      </c>
      <c r="D47" s="25" t="s">
        <v>650</v>
      </c>
    </row>
    <row r="48" spans="1:4" x14ac:dyDescent="0.3">
      <c r="A48" s="25">
        <v>25</v>
      </c>
      <c r="B48" s="25">
        <v>53</v>
      </c>
      <c r="C48" s="25" t="s">
        <v>579</v>
      </c>
      <c r="D48" s="25" t="s">
        <v>650</v>
      </c>
    </row>
    <row r="49" spans="1:4" x14ac:dyDescent="0.3">
      <c r="A49" s="25">
        <v>26</v>
      </c>
      <c r="B49" s="25">
        <v>54</v>
      </c>
      <c r="C49" s="25" t="s">
        <v>563</v>
      </c>
      <c r="D49" s="25" t="s">
        <v>650</v>
      </c>
    </row>
    <row r="50" spans="1:4" x14ac:dyDescent="0.3">
      <c r="A50" s="27"/>
      <c r="B50" s="25">
        <v>58</v>
      </c>
      <c r="C50" s="25" t="s">
        <v>728</v>
      </c>
      <c r="D50" s="25" t="s">
        <v>650</v>
      </c>
    </row>
    <row r="51" spans="1:4" x14ac:dyDescent="0.3">
      <c r="A51" s="27"/>
      <c r="B51" s="25">
        <v>63</v>
      </c>
      <c r="C51" s="25" t="s">
        <v>929</v>
      </c>
      <c r="D51" s="25" t="s">
        <v>650</v>
      </c>
    </row>
    <row r="52" spans="1:4" x14ac:dyDescent="0.3">
      <c r="A52" s="27"/>
      <c r="B52" s="25">
        <v>64</v>
      </c>
      <c r="C52" s="25" t="s">
        <v>925</v>
      </c>
      <c r="D52" s="25" t="s">
        <v>650</v>
      </c>
    </row>
    <row r="53" spans="1:4" x14ac:dyDescent="0.3">
      <c r="A53" s="27"/>
      <c r="B53" s="25">
        <v>65</v>
      </c>
      <c r="C53" s="25" t="s">
        <v>920</v>
      </c>
      <c r="D53" s="25" t="s">
        <v>650</v>
      </c>
    </row>
    <row r="54" spans="1:4" x14ac:dyDescent="0.3">
      <c r="A54" s="27"/>
      <c r="B54" s="25">
        <v>66</v>
      </c>
      <c r="C54" s="25" t="s">
        <v>916</v>
      </c>
      <c r="D54" s="25" t="s">
        <v>650</v>
      </c>
    </row>
    <row r="55" spans="1:4" x14ac:dyDescent="0.3">
      <c r="A55" s="25">
        <v>32</v>
      </c>
      <c r="B55" s="25">
        <v>67</v>
      </c>
      <c r="C55" s="25" t="s">
        <v>910</v>
      </c>
      <c r="D55" s="25" t="s">
        <v>650</v>
      </c>
    </row>
    <row r="56" spans="1:4" x14ac:dyDescent="0.3">
      <c r="A56" s="27"/>
      <c r="B56" s="25">
        <v>68</v>
      </c>
      <c r="C56" s="25" t="s">
        <v>903</v>
      </c>
      <c r="D56" s="25" t="s">
        <v>650</v>
      </c>
    </row>
    <row r="57" spans="1:4" x14ac:dyDescent="0.3">
      <c r="A57" s="25">
        <v>35</v>
      </c>
      <c r="B57" s="25">
        <v>72</v>
      </c>
      <c r="C57" s="25" t="s">
        <v>449</v>
      </c>
      <c r="D57" s="25" t="s">
        <v>650</v>
      </c>
    </row>
    <row r="58" spans="1:4" x14ac:dyDescent="0.3">
      <c r="A58" s="25">
        <v>36</v>
      </c>
      <c r="B58" s="25">
        <v>73</v>
      </c>
      <c r="C58" s="25" t="s">
        <v>676</v>
      </c>
      <c r="D58" s="25" t="s">
        <v>650</v>
      </c>
    </row>
    <row r="59" spans="1:4" x14ac:dyDescent="0.3">
      <c r="A59" s="25">
        <v>39</v>
      </c>
      <c r="B59" s="25">
        <v>80</v>
      </c>
      <c r="C59" s="25" t="s">
        <v>961</v>
      </c>
      <c r="D59" s="25" t="s">
        <v>650</v>
      </c>
    </row>
    <row r="60" spans="1:4" x14ac:dyDescent="0.3">
      <c r="A60" s="25">
        <v>40</v>
      </c>
      <c r="B60" s="25">
        <v>81</v>
      </c>
      <c r="C60" s="25" t="s">
        <v>728</v>
      </c>
      <c r="D60" s="25" t="s">
        <v>650</v>
      </c>
    </row>
    <row r="61" spans="1:4" x14ac:dyDescent="0.3">
      <c r="A61" s="27"/>
      <c r="B61" s="25">
        <v>82</v>
      </c>
      <c r="C61" s="25" t="s">
        <v>824</v>
      </c>
      <c r="D61" s="25" t="s">
        <v>650</v>
      </c>
    </row>
    <row r="62" spans="1:4" x14ac:dyDescent="0.3">
      <c r="A62" s="27"/>
      <c r="B62" s="25">
        <v>83</v>
      </c>
      <c r="C62" s="25" t="s">
        <v>816</v>
      </c>
      <c r="D62" s="25" t="s">
        <v>650</v>
      </c>
    </row>
    <row r="63" spans="1:4" x14ac:dyDescent="0.3">
      <c r="A63" s="27"/>
      <c r="B63" s="25">
        <v>84</v>
      </c>
      <c r="C63" s="25" t="s">
        <v>1050</v>
      </c>
      <c r="D63" s="25" t="s">
        <v>650</v>
      </c>
    </row>
    <row r="64" spans="1:4" x14ac:dyDescent="0.3">
      <c r="A64" s="27"/>
      <c r="B64" s="25">
        <v>85</v>
      </c>
      <c r="C64" s="25" t="s">
        <v>1047</v>
      </c>
      <c r="D64" s="25" t="s">
        <v>650</v>
      </c>
    </row>
    <row r="65" spans="1:4" x14ac:dyDescent="0.3">
      <c r="A65" s="27"/>
      <c r="B65" s="25">
        <v>88</v>
      </c>
      <c r="C65" s="25" t="s">
        <v>532</v>
      </c>
      <c r="D65" s="25" t="s">
        <v>650</v>
      </c>
    </row>
    <row r="66" spans="1:4" x14ac:dyDescent="0.3">
      <c r="A66" s="25">
        <v>41</v>
      </c>
      <c r="B66" s="25">
        <v>89</v>
      </c>
      <c r="C66" s="25" t="s">
        <v>802</v>
      </c>
      <c r="D66" s="25" t="s">
        <v>650</v>
      </c>
    </row>
    <row r="67" spans="1:4" x14ac:dyDescent="0.3">
      <c r="A67" s="25">
        <v>42</v>
      </c>
      <c r="B67" s="25">
        <v>90</v>
      </c>
      <c r="C67" s="25" t="s">
        <v>542</v>
      </c>
      <c r="D67" s="25" t="s">
        <v>650</v>
      </c>
    </row>
    <row r="68" spans="1:4" x14ac:dyDescent="0.3">
      <c r="A68" s="25">
        <v>43</v>
      </c>
      <c r="B68" s="25">
        <v>91</v>
      </c>
      <c r="C68" s="25" t="s">
        <v>546</v>
      </c>
      <c r="D68" s="25" t="s">
        <v>650</v>
      </c>
    </row>
    <row r="69" spans="1:4" x14ac:dyDescent="0.3">
      <c r="A69" s="27"/>
      <c r="B69" s="25">
        <v>93</v>
      </c>
      <c r="C69" s="25" t="s">
        <v>555</v>
      </c>
      <c r="D69" s="25" t="s">
        <v>650</v>
      </c>
    </row>
    <row r="70" spans="1:4" x14ac:dyDescent="0.3">
      <c r="A70" s="27"/>
      <c r="B70" s="25">
        <v>94</v>
      </c>
      <c r="C70" s="25" t="s">
        <v>1043</v>
      </c>
      <c r="D70" s="25" t="s">
        <v>650</v>
      </c>
    </row>
    <row r="71" spans="1:4" x14ac:dyDescent="0.3">
      <c r="A71" s="25">
        <v>45</v>
      </c>
      <c r="B71" s="25">
        <v>95</v>
      </c>
      <c r="C71" s="25" t="s">
        <v>563</v>
      </c>
      <c r="D71" s="25" t="s">
        <v>650</v>
      </c>
    </row>
    <row r="72" spans="1:4" x14ac:dyDescent="0.3">
      <c r="A72" s="25">
        <v>48</v>
      </c>
      <c r="B72" s="25">
        <v>98</v>
      </c>
      <c r="C72" s="25" t="s">
        <v>579</v>
      </c>
      <c r="D72" s="25" t="s">
        <v>650</v>
      </c>
    </row>
    <row r="76" spans="1:4" x14ac:dyDescent="0.3">
      <c r="A76" s="86" t="s">
        <v>1297</v>
      </c>
      <c r="B76" s="86" t="s">
        <v>1296</v>
      </c>
      <c r="C76" s="86" t="s">
        <v>730</v>
      </c>
      <c r="D76" s="86"/>
    </row>
    <row r="77" spans="1:4" x14ac:dyDescent="0.3">
      <c r="A77" s="25">
        <v>16</v>
      </c>
      <c r="B77" s="25">
        <v>29</v>
      </c>
      <c r="C77" s="25" t="s">
        <v>204</v>
      </c>
      <c r="D77" s="25" t="s">
        <v>633</v>
      </c>
    </row>
    <row r="78" spans="1:4" x14ac:dyDescent="0.3">
      <c r="A78" s="25">
        <v>17</v>
      </c>
      <c r="B78" s="25">
        <v>30</v>
      </c>
      <c r="C78" s="25" t="s">
        <v>214</v>
      </c>
      <c r="D78" s="25" t="s">
        <v>650</v>
      </c>
    </row>
    <row r="79" spans="1:4" x14ac:dyDescent="0.3">
      <c r="A79" s="25">
        <v>25</v>
      </c>
      <c r="B79" s="25">
        <v>53</v>
      </c>
      <c r="C79" s="25" t="s">
        <v>204</v>
      </c>
      <c r="D79" s="25" t="s">
        <v>633</v>
      </c>
    </row>
    <row r="80" spans="1:4" x14ac:dyDescent="0.3">
      <c r="A80" s="25">
        <v>26</v>
      </c>
      <c r="B80" s="25">
        <v>54</v>
      </c>
      <c r="C80" s="25" t="s">
        <v>214</v>
      </c>
      <c r="D80" s="25" t="s">
        <v>650</v>
      </c>
    </row>
    <row r="81" spans="1:4" x14ac:dyDescent="0.3">
      <c r="A81" s="25">
        <v>29</v>
      </c>
      <c r="B81" s="25">
        <v>57</v>
      </c>
      <c r="C81" s="25" t="s">
        <v>204</v>
      </c>
      <c r="D81" s="25" t="s">
        <v>633</v>
      </c>
    </row>
    <row r="82" spans="1:4" x14ac:dyDescent="0.3">
      <c r="A82" s="27"/>
      <c r="B82" s="25">
        <v>58</v>
      </c>
      <c r="C82" s="25" t="s">
        <v>214</v>
      </c>
      <c r="D82" s="25" t="s">
        <v>650</v>
      </c>
    </row>
    <row r="86" spans="1:4" x14ac:dyDescent="0.3">
      <c r="A86" s="86" t="s">
        <v>1297</v>
      </c>
      <c r="B86" s="86" t="s">
        <v>1296</v>
      </c>
      <c r="C86" s="86" t="s">
        <v>783</v>
      </c>
      <c r="D86" s="86"/>
    </row>
    <row r="87" spans="1:4" x14ac:dyDescent="0.3">
      <c r="A87" s="25">
        <v>16</v>
      </c>
      <c r="B87" s="25">
        <v>29</v>
      </c>
      <c r="C87" s="25" t="s">
        <v>206</v>
      </c>
      <c r="D87" s="25" t="s">
        <v>633</v>
      </c>
    </row>
    <row r="88" spans="1:4" x14ac:dyDescent="0.3">
      <c r="A88" s="25">
        <v>17</v>
      </c>
      <c r="B88" s="25">
        <v>30</v>
      </c>
      <c r="C88" s="25" t="s">
        <v>215</v>
      </c>
      <c r="D88" s="25" t="s">
        <v>650</v>
      </c>
    </row>
    <row r="89" spans="1:4" x14ac:dyDescent="0.3">
      <c r="A89" s="25">
        <v>27</v>
      </c>
      <c r="B89" s="25">
        <v>55</v>
      </c>
      <c r="C89" s="25" t="s">
        <v>215</v>
      </c>
      <c r="D89" s="25" t="s">
        <v>650</v>
      </c>
    </row>
    <row r="90" spans="1:4" x14ac:dyDescent="0.3">
      <c r="A90" s="25">
        <v>28</v>
      </c>
      <c r="B90" s="25">
        <v>56</v>
      </c>
      <c r="C90" s="25" t="s">
        <v>206</v>
      </c>
      <c r="D90" s="25" t="s">
        <v>633</v>
      </c>
    </row>
    <row r="91" spans="1:4" x14ac:dyDescent="0.3">
      <c r="A91" s="25">
        <v>42</v>
      </c>
      <c r="B91" s="25">
        <v>90</v>
      </c>
      <c r="C91" s="25" t="s">
        <v>215</v>
      </c>
      <c r="D91" s="25" t="s">
        <v>650</v>
      </c>
    </row>
    <row r="92" spans="1:4" x14ac:dyDescent="0.3">
      <c r="A92" s="25">
        <v>43</v>
      </c>
      <c r="B92" s="25">
        <v>91</v>
      </c>
      <c r="C92" s="25" t="s">
        <v>206</v>
      </c>
      <c r="D92" s="25" t="s">
        <v>633</v>
      </c>
    </row>
    <row r="96" spans="1:4" x14ac:dyDescent="0.3">
      <c r="A96" s="86" t="s">
        <v>1297</v>
      </c>
      <c r="B96" s="86" t="s">
        <v>1296</v>
      </c>
      <c r="C96" s="86" t="s">
        <v>956</v>
      </c>
      <c r="D96" s="86"/>
    </row>
    <row r="97" spans="1:4" x14ac:dyDescent="0.3">
      <c r="A97" s="27"/>
      <c r="B97" s="25">
        <v>43</v>
      </c>
      <c r="C97" s="25" t="s">
        <v>271</v>
      </c>
      <c r="D97" s="25" t="s">
        <v>633</v>
      </c>
    </row>
    <row r="98" spans="1:4" x14ac:dyDescent="0.3">
      <c r="A98" s="25">
        <v>20</v>
      </c>
      <c r="B98" s="25">
        <v>44</v>
      </c>
      <c r="C98" s="25" t="s">
        <v>280</v>
      </c>
      <c r="D98" s="25" t="s">
        <v>650</v>
      </c>
    </row>
    <row r="99" spans="1:4" x14ac:dyDescent="0.3">
      <c r="A99" s="25">
        <v>21</v>
      </c>
      <c r="B99" s="25">
        <v>45</v>
      </c>
      <c r="C99" s="25" t="s">
        <v>271</v>
      </c>
      <c r="D99" s="25" t="s">
        <v>633</v>
      </c>
    </row>
    <row r="100" spans="1:4" x14ac:dyDescent="0.3">
      <c r="A100" s="25">
        <v>22</v>
      </c>
      <c r="B100" s="25">
        <v>46</v>
      </c>
      <c r="C100" s="25" t="s">
        <v>280</v>
      </c>
      <c r="D100" s="25" t="s">
        <v>650</v>
      </c>
    </row>
    <row r="101" spans="1:4" x14ac:dyDescent="0.3">
      <c r="A101" s="25">
        <v>39</v>
      </c>
      <c r="B101" s="25">
        <v>80</v>
      </c>
      <c r="C101" s="25" t="s">
        <v>271</v>
      </c>
      <c r="D101" s="25" t="s">
        <v>633</v>
      </c>
    </row>
    <row r="102" spans="1:4" x14ac:dyDescent="0.3">
      <c r="A102" s="25">
        <v>40</v>
      </c>
      <c r="B102" s="25">
        <v>81</v>
      </c>
      <c r="C102" s="25" t="s">
        <v>280</v>
      </c>
      <c r="D102" s="25" t="s">
        <v>650</v>
      </c>
    </row>
    <row r="106" spans="1:4" x14ac:dyDescent="0.3">
      <c r="A106" s="86" t="s">
        <v>1297</v>
      </c>
      <c r="B106" s="86" t="s">
        <v>1296</v>
      </c>
      <c r="C106" s="86" t="s">
        <v>707</v>
      </c>
      <c r="D106" s="86"/>
    </row>
    <row r="107" spans="1:4" x14ac:dyDescent="0.3">
      <c r="A107" s="27"/>
      <c r="B107" s="25">
        <v>18</v>
      </c>
      <c r="C107" s="25" t="s">
        <v>120</v>
      </c>
      <c r="D107" s="25" t="s">
        <v>633</v>
      </c>
    </row>
    <row r="108" spans="1:4" x14ac:dyDescent="0.3">
      <c r="A108" s="27"/>
      <c r="B108" s="25">
        <v>19</v>
      </c>
      <c r="C108" s="25" t="s">
        <v>125</v>
      </c>
      <c r="D108" s="25" t="s">
        <v>633</v>
      </c>
    </row>
    <row r="109" spans="1:4" x14ac:dyDescent="0.3">
      <c r="A109" s="27"/>
      <c r="B109" s="25">
        <v>21</v>
      </c>
      <c r="C109" s="25" t="s">
        <v>143</v>
      </c>
      <c r="D109" s="25" t="s">
        <v>650</v>
      </c>
    </row>
    <row r="110" spans="1:4" x14ac:dyDescent="0.3">
      <c r="A110" s="25">
        <v>11</v>
      </c>
      <c r="B110" s="25">
        <v>22</v>
      </c>
      <c r="C110" s="25" t="s">
        <v>151</v>
      </c>
      <c r="D110" s="25" t="s">
        <v>650</v>
      </c>
    </row>
    <row r="111" spans="1:4" x14ac:dyDescent="0.3">
      <c r="A111" s="25">
        <v>12</v>
      </c>
      <c r="B111" s="25">
        <v>23</v>
      </c>
      <c r="C111" s="25" t="s">
        <v>161</v>
      </c>
      <c r="D111" s="25" t="s">
        <v>650</v>
      </c>
    </row>
    <row r="112" spans="1:4" x14ac:dyDescent="0.3">
      <c r="A112" s="27"/>
      <c r="B112" s="25">
        <v>24</v>
      </c>
      <c r="C112" s="25" t="s">
        <v>125</v>
      </c>
      <c r="D112" s="25" t="s">
        <v>633</v>
      </c>
    </row>
    <row r="113" spans="1:4" x14ac:dyDescent="0.3">
      <c r="A113" s="25">
        <v>13</v>
      </c>
      <c r="B113" s="25">
        <v>26</v>
      </c>
      <c r="C113" s="25" t="s">
        <v>183</v>
      </c>
      <c r="D113" s="25" t="s">
        <v>650</v>
      </c>
    </row>
    <row r="114" spans="1:4" x14ac:dyDescent="0.3">
      <c r="A114" s="25">
        <v>16</v>
      </c>
      <c r="B114" s="25">
        <v>29</v>
      </c>
      <c r="C114" s="25" t="s">
        <v>207</v>
      </c>
      <c r="D114" s="25" t="s">
        <v>650</v>
      </c>
    </row>
    <row r="115" spans="1:4" x14ac:dyDescent="0.3">
      <c r="A115" s="25">
        <v>17</v>
      </c>
      <c r="B115" s="25">
        <v>30</v>
      </c>
      <c r="C115" s="25" t="s">
        <v>213</v>
      </c>
      <c r="D115" s="25" t="s">
        <v>650</v>
      </c>
    </row>
    <row r="116" spans="1:4" x14ac:dyDescent="0.3">
      <c r="A116" s="27"/>
      <c r="B116" s="25">
        <v>31</v>
      </c>
      <c r="C116" s="25" t="s">
        <v>223</v>
      </c>
      <c r="D116" s="25" t="s">
        <v>650</v>
      </c>
    </row>
    <row r="117" spans="1:4" x14ac:dyDescent="0.3">
      <c r="A117" s="27"/>
      <c r="B117" s="25">
        <v>32</v>
      </c>
      <c r="C117" s="25" t="s">
        <v>229</v>
      </c>
      <c r="D117" s="25" t="s">
        <v>650</v>
      </c>
    </row>
    <row r="118" spans="1:4" x14ac:dyDescent="0.3">
      <c r="A118" s="25">
        <v>43</v>
      </c>
      <c r="B118" s="25">
        <v>91</v>
      </c>
      <c r="C118" s="25" t="s">
        <v>125</v>
      </c>
      <c r="D118" s="25" t="s">
        <v>633</v>
      </c>
    </row>
    <row r="119" spans="1:4" x14ac:dyDescent="0.3">
      <c r="A119" s="25">
        <v>48</v>
      </c>
      <c r="B119" s="25">
        <v>98</v>
      </c>
      <c r="C119" s="25" t="s">
        <v>120</v>
      </c>
      <c r="D119" s="25" t="s">
        <v>633</v>
      </c>
    </row>
    <row r="123" spans="1:4" x14ac:dyDescent="0.3">
      <c r="A123" s="86" t="s">
        <v>1297</v>
      </c>
      <c r="B123" s="86" t="s">
        <v>1296</v>
      </c>
      <c r="C123" s="86" t="s">
        <v>638</v>
      </c>
      <c r="D123" s="86"/>
    </row>
    <row r="124" spans="1:4" x14ac:dyDescent="0.3">
      <c r="A124" s="27"/>
      <c r="B124" s="25">
        <v>1</v>
      </c>
      <c r="C124" s="25" t="s">
        <v>30</v>
      </c>
      <c r="D124" s="25" t="s">
        <v>622</v>
      </c>
    </row>
    <row r="125" spans="1:4" x14ac:dyDescent="0.3">
      <c r="A125" s="27"/>
      <c r="B125" s="25">
        <v>2</v>
      </c>
      <c r="C125" s="25" t="s">
        <v>43</v>
      </c>
      <c r="D125" s="25" t="s">
        <v>622</v>
      </c>
    </row>
    <row r="126" spans="1:4" x14ac:dyDescent="0.3">
      <c r="A126" s="25">
        <v>1</v>
      </c>
      <c r="B126" s="25">
        <v>3</v>
      </c>
      <c r="C126" s="25" t="s">
        <v>56</v>
      </c>
      <c r="D126" s="25" t="s">
        <v>622</v>
      </c>
    </row>
    <row r="127" spans="1:4" x14ac:dyDescent="0.3">
      <c r="A127" s="25">
        <v>2</v>
      </c>
      <c r="B127" s="25">
        <v>4</v>
      </c>
      <c r="C127" s="25" t="s">
        <v>67</v>
      </c>
      <c r="D127" s="25" t="s">
        <v>622</v>
      </c>
    </row>
    <row r="128" spans="1:4" x14ac:dyDescent="0.3">
      <c r="A128" s="27"/>
      <c r="B128" s="25">
        <v>5</v>
      </c>
      <c r="C128" s="25" t="s">
        <v>79</v>
      </c>
      <c r="D128" s="25" t="s">
        <v>622</v>
      </c>
    </row>
    <row r="129" spans="1:4" x14ac:dyDescent="0.3">
      <c r="A129" s="27"/>
      <c r="B129" s="25">
        <v>6</v>
      </c>
      <c r="C129" s="25" t="s">
        <v>91</v>
      </c>
      <c r="D129" s="25" t="s">
        <v>622</v>
      </c>
    </row>
    <row r="130" spans="1:4" x14ac:dyDescent="0.3">
      <c r="A130" s="27"/>
      <c r="B130" s="25">
        <v>7</v>
      </c>
      <c r="C130" s="25" t="s">
        <v>79</v>
      </c>
      <c r="D130" s="25" t="s">
        <v>622</v>
      </c>
    </row>
    <row r="131" spans="1:4" x14ac:dyDescent="0.3">
      <c r="A131" s="27"/>
      <c r="B131" s="25">
        <v>18</v>
      </c>
      <c r="C131" s="25" t="s">
        <v>118</v>
      </c>
      <c r="D131" s="25" t="s">
        <v>622</v>
      </c>
    </row>
    <row r="132" spans="1:4" x14ac:dyDescent="0.3">
      <c r="A132" s="27"/>
      <c r="B132" s="25">
        <v>19</v>
      </c>
      <c r="C132" s="25" t="s">
        <v>1129</v>
      </c>
      <c r="D132" s="25" t="s">
        <v>622</v>
      </c>
    </row>
    <row r="133" spans="1:4" x14ac:dyDescent="0.3">
      <c r="A133" s="27"/>
      <c r="B133" s="25">
        <v>20</v>
      </c>
      <c r="C133" s="25" t="s">
        <v>135</v>
      </c>
      <c r="D133" s="25" t="s">
        <v>622</v>
      </c>
    </row>
    <row r="134" spans="1:4" x14ac:dyDescent="0.3">
      <c r="A134" s="25">
        <v>11</v>
      </c>
      <c r="B134" s="25">
        <v>22</v>
      </c>
      <c r="C134" s="25" t="s">
        <v>1130</v>
      </c>
      <c r="D134" s="25" t="s">
        <v>622</v>
      </c>
    </row>
    <row r="135" spans="1:4" x14ac:dyDescent="0.3">
      <c r="A135" s="25">
        <v>12</v>
      </c>
      <c r="B135" s="25">
        <v>23</v>
      </c>
      <c r="C135" s="25" t="s">
        <v>160</v>
      </c>
      <c r="D135" s="25" t="s">
        <v>622</v>
      </c>
    </row>
    <row r="136" spans="1:4" x14ac:dyDescent="0.3">
      <c r="A136" s="27"/>
      <c r="B136" s="25">
        <v>25</v>
      </c>
      <c r="C136" s="25" t="s">
        <v>128</v>
      </c>
      <c r="D136" s="25" t="s">
        <v>622</v>
      </c>
    </row>
    <row r="137" spans="1:4" x14ac:dyDescent="0.3">
      <c r="A137" s="25">
        <v>13</v>
      </c>
      <c r="B137" s="25">
        <v>26</v>
      </c>
      <c r="C137" s="25" t="s">
        <v>1131</v>
      </c>
      <c r="D137" s="25" t="s">
        <v>622</v>
      </c>
    </row>
    <row r="138" spans="1:4" x14ac:dyDescent="0.3">
      <c r="A138" s="27"/>
      <c r="B138" s="25">
        <v>32</v>
      </c>
      <c r="C138" s="25" t="s">
        <v>1132</v>
      </c>
      <c r="D138" s="25" t="s">
        <v>622</v>
      </c>
    </row>
    <row r="139" spans="1:4" x14ac:dyDescent="0.3">
      <c r="A139" s="25">
        <v>18</v>
      </c>
      <c r="B139" s="25">
        <v>33</v>
      </c>
      <c r="C139" s="25" t="s">
        <v>233</v>
      </c>
      <c r="D139" s="25" t="s">
        <v>622</v>
      </c>
    </row>
    <row r="140" spans="1:4" x14ac:dyDescent="0.3">
      <c r="A140" s="25">
        <v>19</v>
      </c>
      <c r="B140" s="25">
        <v>39</v>
      </c>
      <c r="C140" s="25" t="s">
        <v>79</v>
      </c>
      <c r="D140" s="25" t="s">
        <v>622</v>
      </c>
    </row>
    <row r="141" spans="1:4" x14ac:dyDescent="0.3">
      <c r="A141" s="27"/>
      <c r="B141" s="25">
        <v>41</v>
      </c>
      <c r="C141" s="25" t="s">
        <v>1133</v>
      </c>
      <c r="D141" s="25" t="s">
        <v>622</v>
      </c>
    </row>
    <row r="142" spans="1:4" x14ac:dyDescent="0.3">
      <c r="A142" s="27"/>
      <c r="B142" s="25">
        <v>42</v>
      </c>
      <c r="C142" s="25" t="s">
        <v>1134</v>
      </c>
      <c r="D142" s="25" t="s">
        <v>622</v>
      </c>
    </row>
    <row r="143" spans="1:4" x14ac:dyDescent="0.3">
      <c r="A143" s="27"/>
      <c r="B143" s="25">
        <v>43</v>
      </c>
      <c r="C143" s="25" t="s">
        <v>1135</v>
      </c>
      <c r="D143" s="25" t="s">
        <v>622</v>
      </c>
    </row>
    <row r="144" spans="1:4" x14ac:dyDescent="0.3">
      <c r="A144" s="25">
        <v>20</v>
      </c>
      <c r="B144" s="25">
        <v>44</v>
      </c>
      <c r="C144" s="25" t="s">
        <v>233</v>
      </c>
      <c r="D144" s="25" t="s">
        <v>622</v>
      </c>
    </row>
    <row r="145" spans="1:4" x14ac:dyDescent="0.3">
      <c r="A145" s="27"/>
      <c r="B145" s="25">
        <v>51</v>
      </c>
      <c r="C145" s="25" t="s">
        <v>233</v>
      </c>
      <c r="D145" s="25" t="s">
        <v>622</v>
      </c>
    </row>
    <row r="146" spans="1:4" x14ac:dyDescent="0.3">
      <c r="A146" s="25">
        <v>26</v>
      </c>
      <c r="B146" s="25">
        <v>54</v>
      </c>
      <c r="C146" s="25" t="s">
        <v>273</v>
      </c>
      <c r="D146" s="25" t="s">
        <v>622</v>
      </c>
    </row>
    <row r="147" spans="1:4" x14ac:dyDescent="0.3">
      <c r="A147" s="25">
        <v>27</v>
      </c>
      <c r="B147" s="25">
        <v>55</v>
      </c>
      <c r="C147" s="25" t="s">
        <v>228</v>
      </c>
      <c r="D147" s="25" t="s">
        <v>622</v>
      </c>
    </row>
    <row r="148" spans="1:4" x14ac:dyDescent="0.3">
      <c r="A148" s="25">
        <v>28</v>
      </c>
      <c r="B148" s="25">
        <v>56</v>
      </c>
      <c r="C148" s="25" t="s">
        <v>182</v>
      </c>
      <c r="D148" s="25" t="s">
        <v>622</v>
      </c>
    </row>
    <row r="149" spans="1:4" x14ac:dyDescent="0.3">
      <c r="A149" s="25">
        <v>29</v>
      </c>
      <c r="B149" s="25">
        <v>57</v>
      </c>
      <c r="C149" s="25" t="s">
        <v>135</v>
      </c>
      <c r="D149" s="25" t="s">
        <v>622</v>
      </c>
    </row>
    <row r="150" spans="1:4" x14ac:dyDescent="0.3">
      <c r="A150" s="27"/>
      <c r="B150" s="25">
        <v>59</v>
      </c>
      <c r="C150" s="25" t="s">
        <v>160</v>
      </c>
      <c r="D150" s="25" t="s">
        <v>622</v>
      </c>
    </row>
    <row r="151" spans="1:4" x14ac:dyDescent="0.3">
      <c r="A151" s="25">
        <v>32</v>
      </c>
      <c r="B151" s="25">
        <v>67</v>
      </c>
      <c r="C151" s="25" t="s">
        <v>127</v>
      </c>
      <c r="D151" s="25" t="s">
        <v>622</v>
      </c>
    </row>
    <row r="152" spans="1:4" x14ac:dyDescent="0.3">
      <c r="A152" s="25">
        <v>33</v>
      </c>
      <c r="B152" s="25">
        <v>70</v>
      </c>
      <c r="C152" s="25" t="s">
        <v>1136</v>
      </c>
      <c r="D152" s="25" t="s">
        <v>622</v>
      </c>
    </row>
    <row r="153" spans="1:4" x14ac:dyDescent="0.3">
      <c r="A153" s="25">
        <v>34</v>
      </c>
      <c r="B153" s="25">
        <v>71</v>
      </c>
      <c r="C153" s="25" t="s">
        <v>1137</v>
      </c>
      <c r="D153" s="25" t="s">
        <v>622</v>
      </c>
    </row>
    <row r="154" spans="1:4" x14ac:dyDescent="0.3">
      <c r="A154" s="25">
        <v>35</v>
      </c>
      <c r="B154" s="25">
        <v>72</v>
      </c>
      <c r="C154" s="25" t="s">
        <v>79</v>
      </c>
      <c r="D154" s="25" t="s">
        <v>622</v>
      </c>
    </row>
    <row r="155" spans="1:4" x14ac:dyDescent="0.3">
      <c r="A155" s="25">
        <v>36</v>
      </c>
      <c r="B155" s="25">
        <v>73</v>
      </c>
      <c r="C155" s="25" t="s">
        <v>91</v>
      </c>
      <c r="D155" s="25" t="s">
        <v>622</v>
      </c>
    </row>
    <row r="156" spans="1:4" x14ac:dyDescent="0.3">
      <c r="A156" s="25">
        <v>37</v>
      </c>
      <c r="B156" s="25">
        <v>78</v>
      </c>
      <c r="C156" s="25" t="s">
        <v>30</v>
      </c>
      <c r="D156" s="25" t="s">
        <v>622</v>
      </c>
    </row>
    <row r="157" spans="1:4" x14ac:dyDescent="0.3">
      <c r="A157" s="25">
        <v>38</v>
      </c>
      <c r="B157" s="25">
        <v>79</v>
      </c>
      <c r="C157" s="25" t="s">
        <v>43</v>
      </c>
      <c r="D157" s="25" t="s">
        <v>622</v>
      </c>
    </row>
    <row r="158" spans="1:4" x14ac:dyDescent="0.3">
      <c r="A158" s="25">
        <v>39</v>
      </c>
      <c r="B158" s="25">
        <v>80</v>
      </c>
      <c r="C158" s="25" t="s">
        <v>150</v>
      </c>
      <c r="D158" s="25" t="s">
        <v>622</v>
      </c>
    </row>
    <row r="159" spans="1:4" x14ac:dyDescent="0.3">
      <c r="A159" s="25">
        <v>40</v>
      </c>
      <c r="B159" s="25">
        <v>81</v>
      </c>
      <c r="C159" s="25" t="s">
        <v>160</v>
      </c>
      <c r="D159" s="25" t="s">
        <v>622</v>
      </c>
    </row>
    <row r="160" spans="1:4" x14ac:dyDescent="0.3">
      <c r="A160" s="27"/>
      <c r="B160" s="25">
        <v>84</v>
      </c>
      <c r="C160" s="25" t="s">
        <v>182</v>
      </c>
      <c r="D160" s="25" t="s">
        <v>622</v>
      </c>
    </row>
    <row r="161" spans="1:4" x14ac:dyDescent="0.3">
      <c r="A161" s="27"/>
      <c r="B161" s="25">
        <v>85</v>
      </c>
      <c r="C161" s="25" t="s">
        <v>228</v>
      </c>
      <c r="D161" s="25" t="s">
        <v>622</v>
      </c>
    </row>
    <row r="162" spans="1:4" x14ac:dyDescent="0.3">
      <c r="A162" s="27"/>
      <c r="B162" s="25">
        <v>88</v>
      </c>
      <c r="C162" s="25" t="s">
        <v>273</v>
      </c>
      <c r="D162" s="25" t="s">
        <v>622</v>
      </c>
    </row>
    <row r="163" spans="1:4" x14ac:dyDescent="0.3">
      <c r="A163" s="25">
        <v>41</v>
      </c>
      <c r="B163" s="25">
        <v>89</v>
      </c>
      <c r="C163" s="25" t="s">
        <v>127</v>
      </c>
      <c r="D163" s="25" t="s">
        <v>622</v>
      </c>
    </row>
    <row r="164" spans="1:4" x14ac:dyDescent="0.3">
      <c r="A164" s="25">
        <v>42</v>
      </c>
      <c r="B164" s="25">
        <v>90</v>
      </c>
      <c r="C164" s="25" t="s">
        <v>135</v>
      </c>
      <c r="D164" s="25" t="s">
        <v>622</v>
      </c>
    </row>
    <row r="165" spans="1:4" x14ac:dyDescent="0.3">
      <c r="A165" s="25">
        <v>43</v>
      </c>
      <c r="B165" s="25">
        <v>91</v>
      </c>
      <c r="C165" s="25" t="s">
        <v>56</v>
      </c>
      <c r="D165" s="25" t="s">
        <v>622</v>
      </c>
    </row>
    <row r="166" spans="1:4" x14ac:dyDescent="0.3">
      <c r="A166" s="25">
        <v>44</v>
      </c>
      <c r="B166" s="25">
        <v>92</v>
      </c>
      <c r="C166" s="25" t="s">
        <v>67</v>
      </c>
      <c r="D166" s="25" t="s">
        <v>622</v>
      </c>
    </row>
    <row r="167" spans="1:4" x14ac:dyDescent="0.3">
      <c r="A167" s="27"/>
      <c r="B167" s="25">
        <v>93</v>
      </c>
      <c r="C167" s="25" t="s">
        <v>43</v>
      </c>
      <c r="D167" s="25" t="s">
        <v>622</v>
      </c>
    </row>
    <row r="168" spans="1:4" x14ac:dyDescent="0.3">
      <c r="A168" s="27"/>
      <c r="B168" s="25">
        <v>94</v>
      </c>
      <c r="C168" s="25" t="s">
        <v>30</v>
      </c>
      <c r="D168" s="25" t="s">
        <v>622</v>
      </c>
    </row>
    <row r="169" spans="1:4" x14ac:dyDescent="0.3">
      <c r="A169" s="25">
        <v>45</v>
      </c>
      <c r="B169" s="25">
        <v>95</v>
      </c>
      <c r="C169" s="25" t="s">
        <v>91</v>
      </c>
      <c r="D169" s="25" t="s">
        <v>622</v>
      </c>
    </row>
    <row r="170" spans="1:4" x14ac:dyDescent="0.3">
      <c r="A170" s="25">
        <v>46</v>
      </c>
      <c r="B170" s="25">
        <v>96</v>
      </c>
      <c r="C170" s="25" t="s">
        <v>79</v>
      </c>
      <c r="D170" s="25" t="s">
        <v>622</v>
      </c>
    </row>
    <row r="171" spans="1:4" x14ac:dyDescent="0.3">
      <c r="A171" s="25">
        <v>48</v>
      </c>
      <c r="B171" s="25">
        <v>98</v>
      </c>
      <c r="C171" s="25" t="s">
        <v>118</v>
      </c>
      <c r="D171" s="25" t="s">
        <v>622</v>
      </c>
    </row>
    <row r="172" spans="1:4" x14ac:dyDescent="0.3">
      <c r="A172" s="27"/>
      <c r="B172" s="25">
        <v>99</v>
      </c>
      <c r="C172" s="25" t="s">
        <v>128</v>
      </c>
      <c r="D172" s="25" t="s">
        <v>622</v>
      </c>
    </row>
    <row r="173" spans="1:4" x14ac:dyDescent="0.3">
      <c r="A173" s="27"/>
      <c r="B173" s="25">
        <v>100</v>
      </c>
      <c r="C173" s="25" t="s">
        <v>118</v>
      </c>
      <c r="D173" s="25" t="s">
        <v>622</v>
      </c>
    </row>
    <row r="177" spans="1:4" x14ac:dyDescent="0.3">
      <c r="A177" s="86" t="s">
        <v>1297</v>
      </c>
      <c r="B177" s="86" t="s">
        <v>1296</v>
      </c>
      <c r="C177" s="86" t="s">
        <v>709</v>
      </c>
      <c r="D177" s="86"/>
    </row>
    <row r="178" spans="1:4" x14ac:dyDescent="0.3">
      <c r="A178" s="25">
        <v>44</v>
      </c>
      <c r="B178" s="25">
        <v>92</v>
      </c>
      <c r="C178" s="25" t="s">
        <v>773</v>
      </c>
      <c r="D178" s="25" t="s">
        <v>633</v>
      </c>
    </row>
    <row r="179" spans="1:4" x14ac:dyDescent="0.3">
      <c r="A179" s="25">
        <v>45</v>
      </c>
      <c r="B179" s="25">
        <v>95</v>
      </c>
      <c r="C179" s="25" t="s">
        <v>565</v>
      </c>
      <c r="D179" s="25" t="s">
        <v>650</v>
      </c>
    </row>
    <row r="180" spans="1:4" x14ac:dyDescent="0.3">
      <c r="A180" s="25">
        <v>46</v>
      </c>
      <c r="B180" s="25">
        <v>96</v>
      </c>
      <c r="C180" s="25" t="s">
        <v>569</v>
      </c>
      <c r="D180" s="25" t="s">
        <v>650</v>
      </c>
    </row>
    <row r="181" spans="1:4" x14ac:dyDescent="0.3">
      <c r="A181" s="25">
        <v>48</v>
      </c>
      <c r="B181" s="25">
        <v>98</v>
      </c>
      <c r="C181" s="25" t="s">
        <v>577</v>
      </c>
      <c r="D181" s="25" t="s">
        <v>622</v>
      </c>
    </row>
    <row r="185" spans="1:4" x14ac:dyDescent="0.3">
      <c r="A185" s="86" t="s">
        <v>1297</v>
      </c>
      <c r="B185" s="86" t="s">
        <v>1296</v>
      </c>
      <c r="C185" s="86" t="s">
        <v>837</v>
      </c>
      <c r="D185" s="86"/>
    </row>
    <row r="186" spans="1:4" x14ac:dyDescent="0.3">
      <c r="A186" s="27"/>
      <c r="B186" s="25">
        <v>24</v>
      </c>
      <c r="C186" s="25" t="s">
        <v>166</v>
      </c>
      <c r="D186" s="25" t="s">
        <v>622</v>
      </c>
    </row>
    <row r="187" spans="1:4" x14ac:dyDescent="0.3">
      <c r="A187" s="27"/>
      <c r="B187" s="25">
        <v>25</v>
      </c>
      <c r="C187" s="25" t="s">
        <v>173</v>
      </c>
      <c r="D187" s="25" t="s">
        <v>622</v>
      </c>
    </row>
    <row r="188" spans="1:4" x14ac:dyDescent="0.3">
      <c r="A188" s="25">
        <v>25</v>
      </c>
      <c r="B188" s="25">
        <v>53</v>
      </c>
      <c r="C188" s="25" t="s">
        <v>353</v>
      </c>
      <c r="D188" s="25" t="s">
        <v>622</v>
      </c>
    </row>
    <row r="189" spans="1:4" x14ac:dyDescent="0.3">
      <c r="A189" s="25">
        <v>26</v>
      </c>
      <c r="B189" s="25">
        <v>54</v>
      </c>
      <c r="C189" s="25" t="s">
        <v>360</v>
      </c>
      <c r="D189" s="25" t="s">
        <v>622</v>
      </c>
    </row>
    <row r="190" spans="1:4" x14ac:dyDescent="0.3">
      <c r="A190" s="25">
        <v>27</v>
      </c>
      <c r="B190" s="25">
        <v>55</v>
      </c>
      <c r="C190" s="25" t="s">
        <v>173</v>
      </c>
      <c r="D190" s="25" t="s">
        <v>622</v>
      </c>
    </row>
    <row r="191" spans="1:4" x14ac:dyDescent="0.3">
      <c r="A191" s="25">
        <v>28</v>
      </c>
      <c r="B191" s="25">
        <v>56</v>
      </c>
      <c r="C191" s="25" t="s">
        <v>166</v>
      </c>
      <c r="D191" s="25" t="s">
        <v>622</v>
      </c>
    </row>
    <row r="192" spans="1:4" x14ac:dyDescent="0.3">
      <c r="A192" s="27"/>
      <c r="B192" s="25">
        <v>74</v>
      </c>
      <c r="C192" s="25" t="s">
        <v>463</v>
      </c>
      <c r="D192" s="25" t="s">
        <v>650</v>
      </c>
    </row>
    <row r="193" spans="1:4" x14ac:dyDescent="0.3">
      <c r="A193" s="25">
        <v>39</v>
      </c>
      <c r="B193" s="25">
        <v>80</v>
      </c>
      <c r="C193" s="25" t="s">
        <v>463</v>
      </c>
      <c r="D193" s="25" t="s">
        <v>650</v>
      </c>
    </row>
    <row r="197" spans="1:4" x14ac:dyDescent="0.3">
      <c r="A197" s="86" t="s">
        <v>1297</v>
      </c>
      <c r="B197" s="86" t="s">
        <v>1296</v>
      </c>
      <c r="C197" s="86" t="s">
        <v>712</v>
      </c>
      <c r="D197" s="86"/>
    </row>
    <row r="198" spans="1:4" x14ac:dyDescent="0.3">
      <c r="A198" s="27"/>
      <c r="B198" s="25">
        <v>34</v>
      </c>
      <c r="C198" s="25" t="s">
        <v>238</v>
      </c>
      <c r="D198" s="25" t="s">
        <v>650</v>
      </c>
    </row>
    <row r="199" spans="1:4" x14ac:dyDescent="0.3">
      <c r="A199" s="27"/>
      <c r="B199" s="25">
        <v>41</v>
      </c>
      <c r="C199" s="25" t="s">
        <v>260</v>
      </c>
      <c r="D199" s="25" t="s">
        <v>622</v>
      </c>
    </row>
    <row r="200" spans="1:4" x14ac:dyDescent="0.3">
      <c r="A200" s="27"/>
      <c r="B200" s="25">
        <v>42</v>
      </c>
      <c r="C200" s="25" t="s">
        <v>266</v>
      </c>
      <c r="D200" s="25" t="s">
        <v>622</v>
      </c>
    </row>
    <row r="201" spans="1:4" x14ac:dyDescent="0.3">
      <c r="A201" s="27"/>
      <c r="B201" s="25">
        <v>43</v>
      </c>
      <c r="C201" s="25" t="s">
        <v>272</v>
      </c>
      <c r="D201" s="25" t="s">
        <v>622</v>
      </c>
    </row>
    <row r="202" spans="1:4" x14ac:dyDescent="0.3">
      <c r="A202" s="25">
        <v>20</v>
      </c>
      <c r="B202" s="25">
        <v>44</v>
      </c>
      <c r="C202" s="25" t="s">
        <v>1138</v>
      </c>
      <c r="D202" s="25" t="s">
        <v>622</v>
      </c>
    </row>
    <row r="203" spans="1:4" x14ac:dyDescent="0.3">
      <c r="A203" s="25">
        <v>21</v>
      </c>
      <c r="B203" s="25">
        <v>45</v>
      </c>
      <c r="C203" s="25" t="s">
        <v>260</v>
      </c>
      <c r="D203" s="25" t="s">
        <v>622</v>
      </c>
    </row>
    <row r="204" spans="1:4" x14ac:dyDescent="0.3">
      <c r="A204" s="25">
        <v>39</v>
      </c>
      <c r="B204" s="25">
        <v>80</v>
      </c>
      <c r="C204" s="25" t="s">
        <v>260</v>
      </c>
      <c r="D204" s="25" t="s">
        <v>622</v>
      </c>
    </row>
    <row r="205" spans="1:4" x14ac:dyDescent="0.3">
      <c r="A205" s="25">
        <v>40</v>
      </c>
      <c r="B205" s="25">
        <v>81</v>
      </c>
      <c r="C205" s="25" t="s">
        <v>266</v>
      </c>
      <c r="D205" s="25" t="s">
        <v>622</v>
      </c>
    </row>
    <row r="206" spans="1:4" x14ac:dyDescent="0.3">
      <c r="A206" s="25">
        <v>45</v>
      </c>
      <c r="B206" s="25">
        <v>95</v>
      </c>
      <c r="C206" s="25" t="s">
        <v>238</v>
      </c>
      <c r="D206" s="25" t="s">
        <v>650</v>
      </c>
    </row>
    <row r="207" spans="1:4" x14ac:dyDescent="0.3">
      <c r="A207" s="25">
        <v>46</v>
      </c>
      <c r="B207" s="25">
        <v>96</v>
      </c>
      <c r="C207" s="25" t="s">
        <v>260</v>
      </c>
      <c r="D207" s="25" t="s">
        <v>622</v>
      </c>
    </row>
    <row r="208" spans="1:4" x14ac:dyDescent="0.3">
      <c r="A208" s="25">
        <v>48</v>
      </c>
      <c r="B208" s="25">
        <v>98</v>
      </c>
      <c r="C208" s="25" t="s">
        <v>266</v>
      </c>
      <c r="D208" s="25" t="s">
        <v>622</v>
      </c>
    </row>
    <row r="212" spans="1:4" x14ac:dyDescent="0.3">
      <c r="A212" s="86" t="s">
        <v>1297</v>
      </c>
      <c r="B212" s="86" t="s">
        <v>1296</v>
      </c>
      <c r="C212" s="86" t="s">
        <v>1123</v>
      </c>
      <c r="D212" s="86"/>
    </row>
    <row r="213" spans="1:4" x14ac:dyDescent="0.3">
      <c r="A213" s="25">
        <v>9</v>
      </c>
      <c r="B213" s="25">
        <v>15</v>
      </c>
      <c r="C213" s="25" t="s">
        <v>112</v>
      </c>
      <c r="D213" s="25" t="s">
        <v>650</v>
      </c>
    </row>
    <row r="214" spans="1:4" x14ac:dyDescent="0.3">
      <c r="A214" s="25">
        <v>10</v>
      </c>
      <c r="B214" s="25">
        <v>17</v>
      </c>
      <c r="C214" s="25" t="s">
        <v>114</v>
      </c>
      <c r="D214" s="25" t="s">
        <v>633</v>
      </c>
    </row>
    <row r="218" spans="1:4" x14ac:dyDescent="0.3">
      <c r="A218" s="86" t="s">
        <v>1297</v>
      </c>
      <c r="B218" s="86" t="s">
        <v>1296</v>
      </c>
      <c r="C218" s="86" t="s">
        <v>1139</v>
      </c>
      <c r="D218" s="86"/>
    </row>
    <row r="219" spans="1:4" x14ac:dyDescent="0.3">
      <c r="A219" s="27"/>
      <c r="B219" s="25">
        <v>7</v>
      </c>
      <c r="C219" s="25" t="s">
        <v>1140</v>
      </c>
      <c r="D219" s="25" t="s">
        <v>633</v>
      </c>
    </row>
    <row r="220" spans="1:4" x14ac:dyDescent="0.3">
      <c r="A220" s="27"/>
      <c r="B220" s="25">
        <v>86</v>
      </c>
      <c r="C220" s="25" t="s">
        <v>109</v>
      </c>
      <c r="D220" s="25" t="s">
        <v>626</v>
      </c>
    </row>
    <row r="221" spans="1:4" x14ac:dyDescent="0.3">
      <c r="A221" s="27"/>
      <c r="B221" s="25">
        <v>16</v>
      </c>
      <c r="C221" s="25" t="s">
        <v>109</v>
      </c>
      <c r="D221" s="25" t="s">
        <v>626</v>
      </c>
    </row>
    <row r="222" spans="1:4" x14ac:dyDescent="0.3">
      <c r="A222" s="27"/>
      <c r="B222" s="25">
        <v>16</v>
      </c>
      <c r="C222" s="25" t="s">
        <v>109</v>
      </c>
      <c r="D222" s="25" t="s">
        <v>626</v>
      </c>
    </row>
    <row r="223" spans="1:4" x14ac:dyDescent="0.3">
      <c r="A223" s="27"/>
      <c r="B223" s="25">
        <v>38</v>
      </c>
      <c r="C223" s="25" t="s">
        <v>109</v>
      </c>
      <c r="D223" s="25" t="s">
        <v>626</v>
      </c>
    </row>
    <row r="224" spans="1:4" x14ac:dyDescent="0.3">
      <c r="A224" s="27"/>
      <c r="B224" s="25">
        <v>12</v>
      </c>
      <c r="C224" s="25" t="s">
        <v>109</v>
      </c>
      <c r="D224" s="25" t="s">
        <v>626</v>
      </c>
    </row>
    <row r="225" spans="1:4" x14ac:dyDescent="0.3">
      <c r="A225" s="25">
        <v>30</v>
      </c>
      <c r="B225" s="25">
        <v>61</v>
      </c>
      <c r="C225" s="25" t="s">
        <v>109</v>
      </c>
      <c r="D225" s="25" t="s">
        <v>626</v>
      </c>
    </row>
    <row r="226" spans="1:4" x14ac:dyDescent="0.3">
      <c r="A226" s="25">
        <v>8</v>
      </c>
      <c r="B226" s="25">
        <v>14</v>
      </c>
      <c r="C226" s="25" t="s">
        <v>109</v>
      </c>
      <c r="D226" s="25" t="s">
        <v>626</v>
      </c>
    </row>
    <row r="227" spans="1:4" x14ac:dyDescent="0.3">
      <c r="A227" s="27"/>
      <c r="B227" s="25">
        <v>87</v>
      </c>
      <c r="C227" s="25" t="s">
        <v>105</v>
      </c>
      <c r="D227" s="25" t="s">
        <v>626</v>
      </c>
    </row>
    <row r="228" spans="1:4" x14ac:dyDescent="0.3">
      <c r="A228" s="25">
        <v>5</v>
      </c>
      <c r="B228" s="25">
        <v>10</v>
      </c>
      <c r="C228" s="25" t="s">
        <v>105</v>
      </c>
      <c r="D228" s="25" t="s">
        <v>626</v>
      </c>
    </row>
    <row r="229" spans="1:4" x14ac:dyDescent="0.3">
      <c r="A229" s="25">
        <v>7</v>
      </c>
      <c r="B229" s="25">
        <v>13</v>
      </c>
      <c r="C229" s="25" t="s">
        <v>111</v>
      </c>
      <c r="D229" s="25" t="s">
        <v>626</v>
      </c>
    </row>
    <row r="230" spans="1:4" x14ac:dyDescent="0.3">
      <c r="A230" s="25">
        <v>6</v>
      </c>
      <c r="B230" s="25">
        <v>11</v>
      </c>
      <c r="C230" s="25" t="s">
        <v>107</v>
      </c>
      <c r="D230" s="25" t="s">
        <v>626</v>
      </c>
    </row>
    <row r="231" spans="1:4" x14ac:dyDescent="0.3">
      <c r="A231" s="27"/>
      <c r="B231" s="25">
        <v>60</v>
      </c>
      <c r="C231" s="25" t="s">
        <v>111</v>
      </c>
      <c r="D231" s="25" t="s">
        <v>626</v>
      </c>
    </row>
    <row r="232" spans="1:4" x14ac:dyDescent="0.3">
      <c r="A232" s="27"/>
      <c r="B232" s="27"/>
      <c r="C232" s="25" t="s">
        <v>105</v>
      </c>
      <c r="D232" s="25" t="s">
        <v>626</v>
      </c>
    </row>
    <row r="233" spans="1:4" x14ac:dyDescent="0.3">
      <c r="A233" s="27"/>
      <c r="B233" s="25">
        <v>37</v>
      </c>
      <c r="C233" s="25" t="s">
        <v>105</v>
      </c>
      <c r="D233" s="25" t="s">
        <v>626</v>
      </c>
    </row>
    <row r="234" spans="1:4" x14ac:dyDescent="0.3">
      <c r="A234" s="25">
        <v>31</v>
      </c>
      <c r="B234" s="25">
        <v>62</v>
      </c>
      <c r="C234" s="25" t="s">
        <v>105</v>
      </c>
      <c r="D234" s="25" t="s">
        <v>626</v>
      </c>
    </row>
    <row r="238" spans="1:4" x14ac:dyDescent="0.3">
      <c r="A238" s="86" t="s">
        <v>1297</v>
      </c>
      <c r="B238" s="86" t="s">
        <v>1296</v>
      </c>
      <c r="C238" s="86" t="s">
        <v>1141</v>
      </c>
      <c r="D238" s="86"/>
    </row>
    <row r="242" spans="1:4" x14ac:dyDescent="0.3">
      <c r="A242" s="86" t="s">
        <v>1297</v>
      </c>
      <c r="B242" s="86" t="s">
        <v>1296</v>
      </c>
      <c r="C242" s="86" t="s">
        <v>1142</v>
      </c>
      <c r="D242" s="86"/>
    </row>
    <row r="246" spans="1:4" x14ac:dyDescent="0.3">
      <c r="A246" s="86" t="s">
        <v>1297</v>
      </c>
      <c r="B246" s="86" t="s">
        <v>1296</v>
      </c>
      <c r="C246" s="86" t="s">
        <v>720</v>
      </c>
      <c r="D246" s="86"/>
    </row>
    <row r="247" spans="1:4" x14ac:dyDescent="0.3">
      <c r="A247" s="27"/>
      <c r="B247" s="25">
        <v>6</v>
      </c>
      <c r="C247" s="25" t="s">
        <v>90</v>
      </c>
      <c r="D247" s="25" t="s">
        <v>633</v>
      </c>
    </row>
    <row r="248" spans="1:4" x14ac:dyDescent="0.3">
      <c r="A248" s="27"/>
      <c r="B248" s="25">
        <v>24</v>
      </c>
      <c r="C248" s="25" t="s">
        <v>167</v>
      </c>
      <c r="D248" s="25" t="s">
        <v>633</v>
      </c>
    </row>
    <row r="249" spans="1:4" x14ac:dyDescent="0.3">
      <c r="A249" s="25">
        <v>14</v>
      </c>
      <c r="B249" s="25">
        <v>27</v>
      </c>
      <c r="C249" s="25" t="s">
        <v>167</v>
      </c>
      <c r="D249" s="25" t="s">
        <v>633</v>
      </c>
    </row>
    <row r="250" spans="1:4" x14ac:dyDescent="0.3">
      <c r="A250" s="25">
        <v>15</v>
      </c>
      <c r="B250" s="25">
        <v>28</v>
      </c>
      <c r="C250" s="25" t="s">
        <v>90</v>
      </c>
      <c r="D250" s="25" t="s">
        <v>633</v>
      </c>
    </row>
    <row r="251" spans="1:4" x14ac:dyDescent="0.3">
      <c r="A251" s="27"/>
      <c r="B251" s="25">
        <v>36</v>
      </c>
      <c r="C251" s="25" t="s">
        <v>167</v>
      </c>
      <c r="D251" s="25" t="s">
        <v>633</v>
      </c>
    </row>
    <row r="252" spans="1:4" x14ac:dyDescent="0.3">
      <c r="A252" s="25">
        <v>33</v>
      </c>
      <c r="B252" s="25">
        <v>70</v>
      </c>
      <c r="C252" s="25" t="s">
        <v>1011</v>
      </c>
      <c r="D252" s="25" t="s">
        <v>650</v>
      </c>
    </row>
    <row r="253" spans="1:4" x14ac:dyDescent="0.3">
      <c r="A253" s="25">
        <v>42</v>
      </c>
      <c r="B253" s="25">
        <v>90</v>
      </c>
      <c r="C253" s="25" t="s">
        <v>90</v>
      </c>
      <c r="D253" s="25" t="s">
        <v>633</v>
      </c>
    </row>
    <row r="254" spans="1:4" x14ac:dyDescent="0.3">
      <c r="A254" s="25">
        <v>47</v>
      </c>
      <c r="B254" s="25">
        <v>97</v>
      </c>
      <c r="C254" s="25" t="s">
        <v>573</v>
      </c>
      <c r="D254" s="25" t="s">
        <v>622</v>
      </c>
    </row>
    <row r="258" spans="1:4" x14ac:dyDescent="0.3">
      <c r="A258" s="86" t="s">
        <v>1297</v>
      </c>
      <c r="B258" s="86" t="s">
        <v>1296</v>
      </c>
      <c r="C258" s="86" t="s">
        <v>643</v>
      </c>
      <c r="D258" s="86"/>
    </row>
    <row r="259" spans="1:4" x14ac:dyDescent="0.3">
      <c r="A259" s="27"/>
      <c r="B259" s="25">
        <v>21</v>
      </c>
      <c r="C259" s="25" t="s">
        <v>141</v>
      </c>
      <c r="D259" s="25" t="s">
        <v>622</v>
      </c>
    </row>
    <row r="260" spans="1:4" x14ac:dyDescent="0.3">
      <c r="A260" s="25">
        <v>11</v>
      </c>
      <c r="B260" s="25">
        <v>22</v>
      </c>
      <c r="C260" s="25" t="s">
        <v>149</v>
      </c>
      <c r="D260" s="25" t="s">
        <v>622</v>
      </c>
    </row>
    <row r="261" spans="1:4" x14ac:dyDescent="0.3">
      <c r="A261" s="25">
        <v>14</v>
      </c>
      <c r="B261" s="25">
        <v>27</v>
      </c>
      <c r="C261" s="25" t="s">
        <v>1143</v>
      </c>
      <c r="D261" s="25" t="s">
        <v>622</v>
      </c>
    </row>
    <row r="262" spans="1:4" x14ac:dyDescent="0.3">
      <c r="A262" s="25">
        <v>15</v>
      </c>
      <c r="B262" s="25">
        <v>28</v>
      </c>
      <c r="C262" s="25" t="s">
        <v>198</v>
      </c>
      <c r="D262" s="25" t="s">
        <v>622</v>
      </c>
    </row>
    <row r="263" spans="1:4" x14ac:dyDescent="0.3">
      <c r="A263" s="25">
        <v>17</v>
      </c>
      <c r="B263" s="25">
        <v>30</v>
      </c>
      <c r="C263" s="25" t="s">
        <v>212</v>
      </c>
      <c r="D263" s="25" t="s">
        <v>622</v>
      </c>
    </row>
    <row r="264" spans="1:4" x14ac:dyDescent="0.3">
      <c r="A264" s="27"/>
      <c r="B264" s="25">
        <v>31</v>
      </c>
      <c r="C264" s="25" t="s">
        <v>222</v>
      </c>
      <c r="D264" s="25" t="s">
        <v>622</v>
      </c>
    </row>
    <row r="265" spans="1:4" x14ac:dyDescent="0.3">
      <c r="A265" s="27"/>
      <c r="B265" s="25">
        <v>32</v>
      </c>
      <c r="C265" s="25" t="s">
        <v>190</v>
      </c>
      <c r="D265" s="25" t="s">
        <v>622</v>
      </c>
    </row>
    <row r="266" spans="1:4" x14ac:dyDescent="0.3">
      <c r="A266" s="25">
        <v>18</v>
      </c>
      <c r="B266" s="25">
        <v>33</v>
      </c>
      <c r="C266" s="25" t="s">
        <v>189</v>
      </c>
      <c r="D266" s="25" t="s">
        <v>622</v>
      </c>
    </row>
    <row r="267" spans="1:4" x14ac:dyDescent="0.3">
      <c r="A267" s="27"/>
      <c r="B267" s="25">
        <v>34</v>
      </c>
      <c r="C267" s="25" t="s">
        <v>198</v>
      </c>
      <c r="D267" s="25" t="s">
        <v>622</v>
      </c>
    </row>
    <row r="268" spans="1:4" x14ac:dyDescent="0.3">
      <c r="A268" s="27"/>
      <c r="B268" s="25">
        <v>35</v>
      </c>
      <c r="C268" s="25" t="s">
        <v>149</v>
      </c>
      <c r="D268" s="25" t="s">
        <v>622</v>
      </c>
    </row>
    <row r="269" spans="1:4" x14ac:dyDescent="0.3">
      <c r="A269" s="27"/>
      <c r="B269" s="25">
        <v>36</v>
      </c>
      <c r="C269" s="25" t="s">
        <v>141</v>
      </c>
      <c r="D269" s="25" t="s">
        <v>622</v>
      </c>
    </row>
    <row r="270" spans="1:4" x14ac:dyDescent="0.3">
      <c r="A270" s="25">
        <v>25</v>
      </c>
      <c r="B270" s="25">
        <v>53</v>
      </c>
      <c r="C270" s="25" t="s">
        <v>198</v>
      </c>
      <c r="D270" s="25" t="s">
        <v>622</v>
      </c>
    </row>
    <row r="271" spans="1:4" x14ac:dyDescent="0.3">
      <c r="A271" s="25">
        <v>26</v>
      </c>
      <c r="B271" s="25">
        <v>54</v>
      </c>
      <c r="C271" s="25" t="s">
        <v>190</v>
      </c>
      <c r="D271" s="25" t="s">
        <v>622</v>
      </c>
    </row>
    <row r="272" spans="1:4" x14ac:dyDescent="0.3">
      <c r="A272" s="25">
        <v>27</v>
      </c>
      <c r="B272" s="25">
        <v>55</v>
      </c>
      <c r="C272" s="25" t="s">
        <v>141</v>
      </c>
      <c r="D272" s="25" t="s">
        <v>622</v>
      </c>
    </row>
    <row r="273" spans="1:4" x14ac:dyDescent="0.3">
      <c r="A273" s="25">
        <v>28</v>
      </c>
      <c r="B273" s="25">
        <v>56</v>
      </c>
      <c r="C273" s="25" t="s">
        <v>149</v>
      </c>
      <c r="D273" s="25" t="s">
        <v>622</v>
      </c>
    </row>
    <row r="274" spans="1:4" x14ac:dyDescent="0.3">
      <c r="A274" s="25">
        <v>29</v>
      </c>
      <c r="B274" s="25">
        <v>57</v>
      </c>
      <c r="C274" s="25" t="s">
        <v>189</v>
      </c>
      <c r="D274" s="25" t="s">
        <v>622</v>
      </c>
    </row>
    <row r="275" spans="1:4" x14ac:dyDescent="0.3">
      <c r="A275" s="27"/>
      <c r="B275" s="25">
        <v>77</v>
      </c>
      <c r="C275" s="25" t="s">
        <v>481</v>
      </c>
      <c r="D275" s="25" t="s">
        <v>622</v>
      </c>
    </row>
    <row r="276" spans="1:4" x14ac:dyDescent="0.3">
      <c r="A276" s="25">
        <v>37</v>
      </c>
      <c r="B276" s="25">
        <v>78</v>
      </c>
      <c r="C276" s="25" t="s">
        <v>488</v>
      </c>
      <c r="D276" s="25" t="s">
        <v>622</v>
      </c>
    </row>
    <row r="277" spans="1:4" x14ac:dyDescent="0.3">
      <c r="A277" s="25">
        <v>38</v>
      </c>
      <c r="B277" s="25">
        <v>79</v>
      </c>
      <c r="C277" s="25" t="s">
        <v>495</v>
      </c>
      <c r="D277" s="25" t="s">
        <v>622</v>
      </c>
    </row>
    <row r="278" spans="1:4" x14ac:dyDescent="0.3">
      <c r="A278" s="25">
        <v>39</v>
      </c>
      <c r="B278" s="25">
        <v>80</v>
      </c>
      <c r="C278" s="25" t="s">
        <v>190</v>
      </c>
      <c r="D278" s="25" t="s">
        <v>622</v>
      </c>
    </row>
    <row r="279" spans="1:4" x14ac:dyDescent="0.3">
      <c r="A279" s="25">
        <v>40</v>
      </c>
      <c r="B279" s="25">
        <v>81</v>
      </c>
      <c r="C279" s="25" t="s">
        <v>189</v>
      </c>
      <c r="D279" s="25" t="s">
        <v>622</v>
      </c>
    </row>
    <row r="280" spans="1:4" x14ac:dyDescent="0.3">
      <c r="A280" s="27"/>
      <c r="B280" s="25">
        <v>82</v>
      </c>
      <c r="C280" s="25" t="s">
        <v>511</v>
      </c>
      <c r="D280" s="25" t="s">
        <v>622</v>
      </c>
    </row>
    <row r="281" spans="1:4" x14ac:dyDescent="0.3">
      <c r="A281" s="27"/>
      <c r="B281" s="25">
        <v>83</v>
      </c>
      <c r="C281" s="25" t="s">
        <v>222</v>
      </c>
      <c r="D281" s="25" t="s">
        <v>622</v>
      </c>
    </row>
    <row r="282" spans="1:4" x14ac:dyDescent="0.3">
      <c r="A282" s="27"/>
      <c r="B282" s="25">
        <v>84</v>
      </c>
      <c r="C282" s="25" t="s">
        <v>212</v>
      </c>
      <c r="D282" s="25" t="s">
        <v>622</v>
      </c>
    </row>
    <row r="283" spans="1:4" x14ac:dyDescent="0.3">
      <c r="A283" s="27"/>
      <c r="B283" s="25">
        <v>85</v>
      </c>
      <c r="C283" s="25" t="s">
        <v>198</v>
      </c>
      <c r="D283" s="25" t="s">
        <v>622</v>
      </c>
    </row>
    <row r="284" spans="1:4" x14ac:dyDescent="0.3">
      <c r="A284" s="27"/>
      <c r="B284" s="25">
        <v>93</v>
      </c>
      <c r="C284" s="25" t="s">
        <v>149</v>
      </c>
      <c r="D284" s="25" t="s">
        <v>622</v>
      </c>
    </row>
    <row r="285" spans="1:4" x14ac:dyDescent="0.3">
      <c r="A285" s="27"/>
      <c r="B285" s="25">
        <v>94</v>
      </c>
      <c r="C285" s="25" t="s">
        <v>141</v>
      </c>
      <c r="D285" s="25" t="s">
        <v>622</v>
      </c>
    </row>
    <row r="289" spans="1:4" x14ac:dyDescent="0.3">
      <c r="A289" s="86" t="s">
        <v>1297</v>
      </c>
      <c r="B289" s="86" t="s">
        <v>1296</v>
      </c>
      <c r="C289" s="86" t="s">
        <v>688</v>
      </c>
      <c r="D289" s="86"/>
    </row>
    <row r="290" spans="1:4" x14ac:dyDescent="0.3">
      <c r="A290" s="27"/>
      <c r="B290" s="25">
        <v>58</v>
      </c>
      <c r="C290" s="25" t="s">
        <v>387</v>
      </c>
      <c r="D290" s="25" t="s">
        <v>622</v>
      </c>
    </row>
    <row r="291" spans="1:4" x14ac:dyDescent="0.3">
      <c r="A291" s="27"/>
      <c r="B291" s="25">
        <v>63</v>
      </c>
      <c r="C291" s="25" t="s">
        <v>397</v>
      </c>
      <c r="D291" s="25" t="s">
        <v>622</v>
      </c>
    </row>
    <row r="292" spans="1:4" x14ac:dyDescent="0.3">
      <c r="A292" s="27"/>
      <c r="B292" s="25">
        <v>64</v>
      </c>
      <c r="C292" s="25" t="s">
        <v>403</v>
      </c>
      <c r="D292" s="25" t="s">
        <v>622</v>
      </c>
    </row>
    <row r="293" spans="1:4" x14ac:dyDescent="0.3">
      <c r="A293" s="27"/>
      <c r="B293" s="25">
        <v>65</v>
      </c>
      <c r="C293" s="25" t="s">
        <v>408</v>
      </c>
      <c r="D293" s="25" t="s">
        <v>622</v>
      </c>
    </row>
    <row r="294" spans="1:4" x14ac:dyDescent="0.3">
      <c r="A294" s="27"/>
      <c r="B294" s="25">
        <v>66</v>
      </c>
      <c r="C294" s="25" t="s">
        <v>413</v>
      </c>
      <c r="D294" s="25" t="s">
        <v>622</v>
      </c>
    </row>
    <row r="295" spans="1:4" x14ac:dyDescent="0.3">
      <c r="A295" s="27"/>
      <c r="B295" s="25">
        <v>69</v>
      </c>
      <c r="C295" s="25" t="s">
        <v>387</v>
      </c>
      <c r="D295" s="25" t="s">
        <v>622</v>
      </c>
    </row>
    <row r="296" spans="1:4" x14ac:dyDescent="0.3">
      <c r="A296" s="25">
        <v>33</v>
      </c>
      <c r="B296" s="25">
        <v>70</v>
      </c>
      <c r="C296" s="25" t="s">
        <v>436</v>
      </c>
      <c r="D296" s="25" t="s">
        <v>622</v>
      </c>
    </row>
    <row r="297" spans="1:4" x14ac:dyDescent="0.3">
      <c r="A297" s="25">
        <v>34</v>
      </c>
      <c r="B297" s="25">
        <v>71</v>
      </c>
      <c r="C297" s="25" t="s">
        <v>403</v>
      </c>
      <c r="D297" s="25" t="s">
        <v>622</v>
      </c>
    </row>
    <row r="298" spans="1:4" x14ac:dyDescent="0.3">
      <c r="A298" s="25">
        <v>35</v>
      </c>
      <c r="B298" s="25">
        <v>72</v>
      </c>
      <c r="C298" s="25" t="s">
        <v>413</v>
      </c>
      <c r="D298" s="25" t="s">
        <v>622</v>
      </c>
    </row>
    <row r="299" spans="1:4" x14ac:dyDescent="0.3">
      <c r="A299" s="25">
        <v>36</v>
      </c>
      <c r="B299" s="25">
        <v>73</v>
      </c>
      <c r="C299" s="25" t="s">
        <v>408</v>
      </c>
      <c r="D299" s="25" t="s">
        <v>622</v>
      </c>
    </row>
    <row r="300" spans="1:4" x14ac:dyDescent="0.3">
      <c r="A300" s="25">
        <v>40</v>
      </c>
      <c r="B300" s="25">
        <v>81</v>
      </c>
      <c r="C300" s="25" t="s">
        <v>387</v>
      </c>
      <c r="D300" s="25" t="s">
        <v>622</v>
      </c>
    </row>
    <row r="301" spans="1:4" x14ac:dyDescent="0.3">
      <c r="A301" s="27"/>
      <c r="B301" s="25">
        <v>82</v>
      </c>
      <c r="C301" s="25" t="s">
        <v>510</v>
      </c>
      <c r="D301" s="25" t="s">
        <v>622</v>
      </c>
    </row>
    <row r="302" spans="1:4" x14ac:dyDescent="0.3">
      <c r="A302" s="27"/>
      <c r="B302" s="25">
        <v>88</v>
      </c>
      <c r="C302" s="25" t="s">
        <v>397</v>
      </c>
      <c r="D302" s="25" t="s">
        <v>622</v>
      </c>
    </row>
    <row r="303" spans="1:4" x14ac:dyDescent="0.3">
      <c r="A303" s="25">
        <v>41</v>
      </c>
      <c r="B303" s="25">
        <v>89</v>
      </c>
      <c r="C303" s="25" t="s">
        <v>536</v>
      </c>
      <c r="D303" s="25" t="s">
        <v>622</v>
      </c>
    </row>
    <row r="304" spans="1:4" x14ac:dyDescent="0.3">
      <c r="A304" s="25">
        <v>42</v>
      </c>
      <c r="B304" s="25">
        <v>90</v>
      </c>
      <c r="C304" s="25" t="s">
        <v>541</v>
      </c>
      <c r="D304" s="25" t="s">
        <v>622</v>
      </c>
    </row>
    <row r="305" spans="1:4" x14ac:dyDescent="0.3">
      <c r="A305" s="25">
        <v>43</v>
      </c>
      <c r="B305" s="25">
        <v>91</v>
      </c>
      <c r="C305" s="25" t="s">
        <v>436</v>
      </c>
      <c r="D305" s="25" t="s">
        <v>622</v>
      </c>
    </row>
    <row r="309" spans="1:4" x14ac:dyDescent="0.3">
      <c r="A309" s="86" t="s">
        <v>1297</v>
      </c>
      <c r="B309" s="86" t="s">
        <v>1296</v>
      </c>
      <c r="C309" s="86" t="s">
        <v>752</v>
      </c>
      <c r="D309" s="86"/>
    </row>
    <row r="310" spans="1:4" x14ac:dyDescent="0.3">
      <c r="A310" s="27"/>
      <c r="B310" s="25">
        <v>1</v>
      </c>
      <c r="C310" s="25" t="s">
        <v>27</v>
      </c>
      <c r="D310" s="25" t="s">
        <v>622</v>
      </c>
    </row>
    <row r="311" spans="1:4" x14ac:dyDescent="0.3">
      <c r="A311" s="27"/>
      <c r="B311" s="25">
        <v>2</v>
      </c>
      <c r="C311" s="25" t="s">
        <v>41</v>
      </c>
      <c r="D311" s="25" t="s">
        <v>622</v>
      </c>
    </row>
    <row r="312" spans="1:4" x14ac:dyDescent="0.3">
      <c r="A312" s="27"/>
      <c r="B312" s="25">
        <v>5</v>
      </c>
      <c r="C312" s="25" t="s">
        <v>76</v>
      </c>
      <c r="D312" s="25" t="s">
        <v>622</v>
      </c>
    </row>
    <row r="313" spans="1:4" x14ac:dyDescent="0.3">
      <c r="A313" s="27"/>
      <c r="B313" s="25">
        <v>6</v>
      </c>
      <c r="C313" s="25" t="s">
        <v>88</v>
      </c>
      <c r="D313" s="25" t="s">
        <v>622</v>
      </c>
    </row>
    <row r="314" spans="1:4" x14ac:dyDescent="0.3">
      <c r="A314" s="27"/>
      <c r="B314" s="25">
        <v>7</v>
      </c>
      <c r="C314" s="25" t="s">
        <v>1144</v>
      </c>
      <c r="D314" s="25" t="s">
        <v>622</v>
      </c>
    </row>
    <row r="315" spans="1:4" x14ac:dyDescent="0.3">
      <c r="A315" s="25">
        <v>21</v>
      </c>
      <c r="B315" s="25">
        <v>45</v>
      </c>
      <c r="C315" s="25" t="s">
        <v>41</v>
      </c>
      <c r="D315" s="25" t="s">
        <v>622</v>
      </c>
    </row>
    <row r="316" spans="1:4" x14ac:dyDescent="0.3">
      <c r="A316" s="25">
        <v>22</v>
      </c>
      <c r="B316" s="25">
        <v>46</v>
      </c>
      <c r="C316" s="25" t="s">
        <v>76</v>
      </c>
      <c r="D316" s="25" t="s">
        <v>622</v>
      </c>
    </row>
    <row r="317" spans="1:4" x14ac:dyDescent="0.3">
      <c r="A317" s="25">
        <v>23</v>
      </c>
      <c r="B317" s="25">
        <v>47</v>
      </c>
      <c r="C317" s="25" t="s">
        <v>303</v>
      </c>
      <c r="D317" s="25" t="s">
        <v>622</v>
      </c>
    </row>
    <row r="318" spans="1:4" x14ac:dyDescent="0.3">
      <c r="A318" s="25">
        <v>24</v>
      </c>
      <c r="B318" s="25">
        <v>48</v>
      </c>
      <c r="C318" s="25" t="s">
        <v>27</v>
      </c>
      <c r="D318" s="25" t="s">
        <v>622</v>
      </c>
    </row>
    <row r="319" spans="1:4" x14ac:dyDescent="0.3">
      <c r="A319" s="27"/>
      <c r="B319" s="25">
        <v>50</v>
      </c>
      <c r="C319" s="25" t="s">
        <v>88</v>
      </c>
      <c r="D319" s="25" t="s">
        <v>622</v>
      </c>
    </row>
    <row r="320" spans="1:4" x14ac:dyDescent="0.3">
      <c r="A320" s="27"/>
      <c r="B320" s="25">
        <v>52</v>
      </c>
      <c r="C320" s="25" t="s">
        <v>88</v>
      </c>
      <c r="D320" s="25" t="s">
        <v>622</v>
      </c>
    </row>
    <row r="321" spans="1:4" x14ac:dyDescent="0.3">
      <c r="A321" s="27"/>
      <c r="B321" s="25">
        <v>83</v>
      </c>
      <c r="C321" s="25" t="s">
        <v>518</v>
      </c>
      <c r="D321" s="25" t="s">
        <v>622</v>
      </c>
    </row>
    <row r="322" spans="1:4" x14ac:dyDescent="0.3">
      <c r="A322" s="27"/>
      <c r="B322" s="25">
        <v>99</v>
      </c>
      <c r="C322" s="25" t="s">
        <v>76</v>
      </c>
      <c r="D322" s="25" t="s">
        <v>622</v>
      </c>
    </row>
    <row r="323" spans="1:4" x14ac:dyDescent="0.3">
      <c r="A323" s="27"/>
      <c r="B323" s="25">
        <v>100</v>
      </c>
      <c r="C323" s="25" t="s">
        <v>303</v>
      </c>
      <c r="D323" s="25" t="s">
        <v>622</v>
      </c>
    </row>
    <row r="327" spans="1:4" x14ac:dyDescent="0.3">
      <c r="A327" s="86" t="s">
        <v>1297</v>
      </c>
      <c r="B327" s="86" t="s">
        <v>1296</v>
      </c>
      <c r="C327" s="86" t="s">
        <v>646</v>
      </c>
      <c r="D327" s="86"/>
    </row>
    <row r="328" spans="1:4" x14ac:dyDescent="0.3">
      <c r="A328" s="27"/>
      <c r="B328" s="25">
        <v>1</v>
      </c>
      <c r="C328" s="25" t="s">
        <v>31</v>
      </c>
      <c r="D328" s="25" t="s">
        <v>633</v>
      </c>
    </row>
    <row r="329" spans="1:4" x14ac:dyDescent="0.3">
      <c r="A329" s="27"/>
      <c r="B329" s="25">
        <v>2</v>
      </c>
      <c r="C329" s="25" t="s">
        <v>44</v>
      </c>
      <c r="D329" s="25" t="s">
        <v>633</v>
      </c>
    </row>
    <row r="330" spans="1:4" x14ac:dyDescent="0.3">
      <c r="A330" s="25">
        <v>1</v>
      </c>
      <c r="B330" s="25">
        <v>3</v>
      </c>
      <c r="C330" s="25" t="s">
        <v>1145</v>
      </c>
      <c r="D330" s="25" t="s">
        <v>633</v>
      </c>
    </row>
    <row r="331" spans="1:4" x14ac:dyDescent="0.3">
      <c r="A331" s="25">
        <v>2</v>
      </c>
      <c r="B331" s="25">
        <v>4</v>
      </c>
      <c r="C331" s="25" t="s">
        <v>1146</v>
      </c>
      <c r="D331" s="25" t="s">
        <v>633</v>
      </c>
    </row>
    <row r="332" spans="1:4" x14ac:dyDescent="0.3">
      <c r="A332" s="27"/>
      <c r="B332" s="25">
        <v>5</v>
      </c>
      <c r="C332" s="25" t="s">
        <v>1147</v>
      </c>
      <c r="D332" s="25" t="s">
        <v>633</v>
      </c>
    </row>
    <row r="333" spans="1:4" x14ac:dyDescent="0.3">
      <c r="A333" s="27"/>
      <c r="B333" s="25">
        <v>6</v>
      </c>
      <c r="C333" s="25" t="s">
        <v>92</v>
      </c>
      <c r="D333" s="25" t="s">
        <v>633</v>
      </c>
    </row>
    <row r="334" spans="1:4" x14ac:dyDescent="0.3">
      <c r="A334" s="27"/>
      <c r="B334" s="25">
        <v>18</v>
      </c>
      <c r="C334" s="25" t="s">
        <v>60</v>
      </c>
      <c r="D334" s="25" t="s">
        <v>650</v>
      </c>
    </row>
    <row r="335" spans="1:4" x14ac:dyDescent="0.3">
      <c r="A335" s="25">
        <v>14</v>
      </c>
      <c r="B335" s="25">
        <v>27</v>
      </c>
      <c r="C335" s="25" t="s">
        <v>193</v>
      </c>
      <c r="D335" s="25" t="s">
        <v>650</v>
      </c>
    </row>
    <row r="336" spans="1:4" x14ac:dyDescent="0.3">
      <c r="A336" s="25">
        <v>15</v>
      </c>
      <c r="B336" s="25">
        <v>28</v>
      </c>
      <c r="C336" s="25" t="s">
        <v>200</v>
      </c>
      <c r="D336" s="25" t="s">
        <v>650</v>
      </c>
    </row>
    <row r="337" spans="1:4" x14ac:dyDescent="0.3">
      <c r="A337" s="25">
        <v>18</v>
      </c>
      <c r="B337" s="25">
        <v>33</v>
      </c>
      <c r="C337" s="25" t="s">
        <v>71</v>
      </c>
      <c r="D337" s="25" t="s">
        <v>650</v>
      </c>
    </row>
    <row r="338" spans="1:4" x14ac:dyDescent="0.3">
      <c r="A338" s="25">
        <v>21</v>
      </c>
      <c r="B338" s="25">
        <v>45</v>
      </c>
      <c r="C338" s="25" t="s">
        <v>83</v>
      </c>
      <c r="D338" s="25" t="s">
        <v>650</v>
      </c>
    </row>
    <row r="339" spans="1:4" x14ac:dyDescent="0.3">
      <c r="A339" s="25">
        <v>22</v>
      </c>
      <c r="B339" s="25">
        <v>46</v>
      </c>
      <c r="C339" s="25" t="s">
        <v>298</v>
      </c>
      <c r="D339" s="25" t="s">
        <v>650</v>
      </c>
    </row>
    <row r="340" spans="1:4" x14ac:dyDescent="0.3">
      <c r="A340" s="25">
        <v>23</v>
      </c>
      <c r="B340" s="25">
        <v>47</v>
      </c>
      <c r="C340" s="25" t="s">
        <v>306</v>
      </c>
      <c r="D340" s="25" t="s">
        <v>650</v>
      </c>
    </row>
    <row r="341" spans="1:4" x14ac:dyDescent="0.3">
      <c r="A341" s="25">
        <v>24</v>
      </c>
      <c r="B341" s="25">
        <v>48</v>
      </c>
      <c r="C341" s="25" t="s">
        <v>315</v>
      </c>
      <c r="D341" s="25" t="s">
        <v>650</v>
      </c>
    </row>
    <row r="342" spans="1:4" x14ac:dyDescent="0.3">
      <c r="A342" s="27"/>
      <c r="B342" s="25">
        <v>51</v>
      </c>
      <c r="C342" s="25" t="s">
        <v>339</v>
      </c>
      <c r="D342" s="25" t="s">
        <v>650</v>
      </c>
    </row>
    <row r="343" spans="1:4" x14ac:dyDescent="0.3">
      <c r="A343" s="27"/>
      <c r="B343" s="25">
        <v>52</v>
      </c>
      <c r="C343" s="25" t="s">
        <v>349</v>
      </c>
      <c r="D343" s="25" t="s">
        <v>650</v>
      </c>
    </row>
    <row r="344" spans="1:4" x14ac:dyDescent="0.3">
      <c r="A344" s="27"/>
      <c r="B344" s="27"/>
      <c r="C344" s="25" t="s">
        <v>489</v>
      </c>
      <c r="D344" s="25" t="s">
        <v>633</v>
      </c>
    </row>
    <row r="345" spans="1:4" x14ac:dyDescent="0.3">
      <c r="A345" s="25">
        <v>33</v>
      </c>
      <c r="B345" s="25">
        <v>70</v>
      </c>
      <c r="C345" s="25" t="s">
        <v>438</v>
      </c>
      <c r="D345" s="25" t="s">
        <v>650</v>
      </c>
    </row>
    <row r="346" spans="1:4" x14ac:dyDescent="0.3">
      <c r="A346" s="25">
        <v>34</v>
      </c>
      <c r="B346" s="25">
        <v>71</v>
      </c>
      <c r="C346" s="25" t="s">
        <v>444</v>
      </c>
      <c r="D346" s="25" t="s">
        <v>650</v>
      </c>
    </row>
    <row r="347" spans="1:4" x14ac:dyDescent="0.3">
      <c r="A347" s="25">
        <v>37</v>
      </c>
      <c r="B347" s="25">
        <v>78</v>
      </c>
      <c r="C347" s="25" t="s">
        <v>489</v>
      </c>
      <c r="D347" s="25" t="s">
        <v>633</v>
      </c>
    </row>
    <row r="348" spans="1:4" x14ac:dyDescent="0.3">
      <c r="A348" s="25">
        <v>38</v>
      </c>
      <c r="B348" s="25">
        <v>79</v>
      </c>
      <c r="C348" s="25" t="s">
        <v>496</v>
      </c>
      <c r="D348" s="25" t="s">
        <v>633</v>
      </c>
    </row>
    <row r="352" spans="1:4" x14ac:dyDescent="0.3">
      <c r="A352" s="86" t="s">
        <v>1297</v>
      </c>
      <c r="B352" s="86" t="s">
        <v>1296</v>
      </c>
      <c r="C352" s="86" t="s">
        <v>1148</v>
      </c>
      <c r="D352" s="86"/>
    </row>
    <row r="353" spans="1:4" x14ac:dyDescent="0.3">
      <c r="A353" s="25">
        <v>44</v>
      </c>
      <c r="B353" s="25">
        <v>92</v>
      </c>
      <c r="C353" s="25" t="s">
        <v>1149</v>
      </c>
      <c r="D353" s="25" t="s">
        <v>633</v>
      </c>
    </row>
    <row r="357" spans="1:4" x14ac:dyDescent="0.3">
      <c r="A357" s="86" t="s">
        <v>1297</v>
      </c>
      <c r="B357" s="86" t="s">
        <v>1296</v>
      </c>
      <c r="C357" s="86" t="s">
        <v>725</v>
      </c>
      <c r="D357" s="86"/>
    </row>
    <row r="358" spans="1:4" x14ac:dyDescent="0.3">
      <c r="A358" s="25">
        <v>1</v>
      </c>
      <c r="B358" s="25">
        <v>3</v>
      </c>
      <c r="C358" s="25" t="s">
        <v>54</v>
      </c>
      <c r="D358" s="25" t="s">
        <v>622</v>
      </c>
    </row>
    <row r="359" spans="1:4" x14ac:dyDescent="0.3">
      <c r="A359" s="25">
        <v>2</v>
      </c>
      <c r="B359" s="25">
        <v>4</v>
      </c>
      <c r="C359" s="25" t="s">
        <v>65</v>
      </c>
      <c r="D359" s="25" t="s">
        <v>622</v>
      </c>
    </row>
    <row r="360" spans="1:4" x14ac:dyDescent="0.3">
      <c r="A360" s="27"/>
      <c r="B360" s="25">
        <v>6</v>
      </c>
      <c r="C360" s="25" t="s">
        <v>87</v>
      </c>
      <c r="D360" s="25" t="s">
        <v>622</v>
      </c>
    </row>
    <row r="361" spans="1:4" x14ac:dyDescent="0.3">
      <c r="A361" s="27"/>
      <c r="B361" s="25">
        <v>20</v>
      </c>
      <c r="C361" s="25" t="s">
        <v>134</v>
      </c>
      <c r="D361" s="25" t="s">
        <v>622</v>
      </c>
    </row>
    <row r="362" spans="1:4" x14ac:dyDescent="0.3">
      <c r="A362" s="25">
        <v>13</v>
      </c>
      <c r="B362" s="25">
        <v>26</v>
      </c>
      <c r="C362" s="25" t="s">
        <v>180</v>
      </c>
      <c r="D362" s="25" t="s">
        <v>622</v>
      </c>
    </row>
    <row r="363" spans="1:4" x14ac:dyDescent="0.3">
      <c r="A363" s="25">
        <v>17</v>
      </c>
      <c r="B363" s="25">
        <v>30</v>
      </c>
      <c r="C363" s="25" t="s">
        <v>211</v>
      </c>
      <c r="D363" s="25" t="s">
        <v>622</v>
      </c>
    </row>
    <row r="364" spans="1:4" x14ac:dyDescent="0.3">
      <c r="A364" s="27"/>
      <c r="B364" s="25">
        <v>31</v>
      </c>
      <c r="C364" s="25" t="s">
        <v>221</v>
      </c>
      <c r="D364" s="25" t="s">
        <v>622</v>
      </c>
    </row>
    <row r="365" spans="1:4" x14ac:dyDescent="0.3">
      <c r="A365" s="27"/>
      <c r="B365" s="25">
        <v>42</v>
      </c>
      <c r="C365" s="25" t="s">
        <v>65</v>
      </c>
      <c r="D365" s="25" t="s">
        <v>622</v>
      </c>
    </row>
    <row r="366" spans="1:4" x14ac:dyDescent="0.3">
      <c r="A366" s="27"/>
      <c r="B366" s="25">
        <v>43</v>
      </c>
      <c r="C366" s="25" t="s">
        <v>54</v>
      </c>
      <c r="D366" s="25" t="s">
        <v>622</v>
      </c>
    </row>
    <row r="367" spans="1:4" x14ac:dyDescent="0.3">
      <c r="A367" s="25">
        <v>20</v>
      </c>
      <c r="B367" s="25">
        <v>44</v>
      </c>
      <c r="C367" s="25" t="s">
        <v>87</v>
      </c>
      <c r="D367" s="25" t="s">
        <v>622</v>
      </c>
    </row>
    <row r="368" spans="1:4" x14ac:dyDescent="0.3">
      <c r="A368" s="27"/>
      <c r="B368" s="25">
        <v>58</v>
      </c>
      <c r="C368" s="25" t="s">
        <v>180</v>
      </c>
      <c r="D368" s="25" t="s">
        <v>622</v>
      </c>
    </row>
    <row r="369" spans="1:4" x14ac:dyDescent="0.3">
      <c r="A369" s="27"/>
      <c r="B369" s="25">
        <v>59</v>
      </c>
      <c r="C369" s="25" t="s">
        <v>54</v>
      </c>
      <c r="D369" s="25" t="s">
        <v>622</v>
      </c>
    </row>
    <row r="370" spans="1:4" x14ac:dyDescent="0.3">
      <c r="A370" s="27"/>
      <c r="B370" s="27"/>
      <c r="C370" s="25" t="s">
        <v>65</v>
      </c>
      <c r="D370" s="25" t="s">
        <v>622</v>
      </c>
    </row>
    <row r="371" spans="1:4" x14ac:dyDescent="0.3">
      <c r="A371" s="27"/>
      <c r="B371" s="25">
        <v>63</v>
      </c>
      <c r="C371" s="25" t="s">
        <v>134</v>
      </c>
      <c r="D371" s="25" t="s">
        <v>622</v>
      </c>
    </row>
    <row r="372" spans="1:4" x14ac:dyDescent="0.3">
      <c r="A372" s="25">
        <v>32</v>
      </c>
      <c r="B372" s="25">
        <v>67</v>
      </c>
      <c r="C372" s="25" t="s">
        <v>211</v>
      </c>
      <c r="D372" s="25" t="s">
        <v>622</v>
      </c>
    </row>
    <row r="373" spans="1:4" x14ac:dyDescent="0.3">
      <c r="A373" s="27"/>
      <c r="B373" s="25">
        <v>68</v>
      </c>
      <c r="C373" s="25" t="s">
        <v>221</v>
      </c>
      <c r="D373" s="25" t="s">
        <v>622</v>
      </c>
    </row>
    <row r="374" spans="1:4" x14ac:dyDescent="0.3">
      <c r="A374" s="27"/>
      <c r="B374" s="25">
        <v>99</v>
      </c>
      <c r="C374" s="25" t="s">
        <v>134</v>
      </c>
      <c r="D374" s="25" t="s">
        <v>622</v>
      </c>
    </row>
    <row r="378" spans="1:4" x14ac:dyDescent="0.3">
      <c r="A378" s="86" t="s">
        <v>1297</v>
      </c>
      <c r="B378" s="86" t="s">
        <v>1296</v>
      </c>
      <c r="C378" s="86" t="s">
        <v>631</v>
      </c>
      <c r="D378" s="86"/>
    </row>
    <row r="379" spans="1:4" x14ac:dyDescent="0.3">
      <c r="A379" s="27"/>
      <c r="B379" s="25">
        <v>1</v>
      </c>
      <c r="C379" s="25" t="s">
        <v>28</v>
      </c>
      <c r="D379" s="25" t="s">
        <v>622</v>
      </c>
    </row>
    <row r="380" spans="1:4" x14ac:dyDescent="0.3">
      <c r="A380" s="27"/>
      <c r="B380" s="25">
        <v>2</v>
      </c>
      <c r="C380" s="25" t="s">
        <v>42</v>
      </c>
      <c r="D380" s="25" t="s">
        <v>622</v>
      </c>
    </row>
    <row r="381" spans="1:4" x14ac:dyDescent="0.3">
      <c r="A381" s="25">
        <v>1</v>
      </c>
      <c r="B381" s="25">
        <v>3</v>
      </c>
      <c r="C381" s="25" t="s">
        <v>1150</v>
      </c>
      <c r="D381" s="25" t="s">
        <v>622</v>
      </c>
    </row>
    <row r="382" spans="1:4" x14ac:dyDescent="0.3">
      <c r="A382" s="25">
        <v>2</v>
      </c>
      <c r="B382" s="25">
        <v>4</v>
      </c>
      <c r="C382" s="25" t="s">
        <v>1151</v>
      </c>
      <c r="D382" s="25" t="s">
        <v>622</v>
      </c>
    </row>
    <row r="383" spans="1:4" x14ac:dyDescent="0.3">
      <c r="A383" s="27"/>
      <c r="B383" s="25">
        <v>5</v>
      </c>
      <c r="C383" s="25" t="s">
        <v>1152</v>
      </c>
      <c r="D383" s="25" t="s">
        <v>622</v>
      </c>
    </row>
    <row r="384" spans="1:4" x14ac:dyDescent="0.3">
      <c r="A384" s="27"/>
      <c r="B384" s="25">
        <v>6</v>
      </c>
      <c r="C384" s="25" t="s">
        <v>89</v>
      </c>
      <c r="D384" s="25" t="s">
        <v>622</v>
      </c>
    </row>
    <row r="385" spans="1:4" x14ac:dyDescent="0.3">
      <c r="A385" s="27"/>
      <c r="B385" s="25">
        <v>18</v>
      </c>
      <c r="C385" s="25" t="s">
        <v>117</v>
      </c>
      <c r="D385" s="25" t="s">
        <v>622</v>
      </c>
    </row>
    <row r="386" spans="1:4" x14ac:dyDescent="0.3">
      <c r="A386" s="27"/>
      <c r="B386" s="25">
        <v>20</v>
      </c>
      <c r="C386" s="25" t="s">
        <v>133</v>
      </c>
      <c r="D386" s="25" t="s">
        <v>622</v>
      </c>
    </row>
    <row r="387" spans="1:4" x14ac:dyDescent="0.3">
      <c r="A387" s="27"/>
      <c r="B387" s="25">
        <v>21</v>
      </c>
      <c r="C387" s="25" t="s">
        <v>77</v>
      </c>
      <c r="D387" s="25" t="s">
        <v>622</v>
      </c>
    </row>
    <row r="388" spans="1:4" x14ac:dyDescent="0.3">
      <c r="A388" s="25">
        <v>11</v>
      </c>
      <c r="B388" s="25">
        <v>22</v>
      </c>
      <c r="C388" s="25" t="s">
        <v>147</v>
      </c>
      <c r="D388" s="25" t="s">
        <v>622</v>
      </c>
    </row>
    <row r="389" spans="1:4" x14ac:dyDescent="0.3">
      <c r="A389" s="25">
        <v>12</v>
      </c>
      <c r="B389" s="25">
        <v>23</v>
      </c>
      <c r="C389" s="25" t="s">
        <v>158</v>
      </c>
      <c r="D389" s="25" t="s">
        <v>622</v>
      </c>
    </row>
    <row r="390" spans="1:4" x14ac:dyDescent="0.3">
      <c r="A390" s="27"/>
      <c r="B390" s="25">
        <v>24</v>
      </c>
      <c r="C390" s="25" t="s">
        <v>78</v>
      </c>
      <c r="D390" s="25" t="s">
        <v>622</v>
      </c>
    </row>
    <row r="391" spans="1:4" x14ac:dyDescent="0.3">
      <c r="A391" s="27"/>
      <c r="B391" s="25">
        <v>25</v>
      </c>
      <c r="C391" s="25" t="s">
        <v>89</v>
      </c>
      <c r="D391" s="25" t="s">
        <v>622</v>
      </c>
    </row>
    <row r="392" spans="1:4" x14ac:dyDescent="0.3">
      <c r="A392" s="25">
        <v>13</v>
      </c>
      <c r="B392" s="25">
        <v>26</v>
      </c>
      <c r="C392" s="25" t="s">
        <v>181</v>
      </c>
      <c r="D392" s="25" t="s">
        <v>622</v>
      </c>
    </row>
    <row r="393" spans="1:4" x14ac:dyDescent="0.3">
      <c r="A393" s="25">
        <v>14</v>
      </c>
      <c r="B393" s="25">
        <v>27</v>
      </c>
      <c r="C393" s="25" t="s">
        <v>188</v>
      </c>
      <c r="D393" s="25" t="s">
        <v>622</v>
      </c>
    </row>
    <row r="394" spans="1:4" x14ac:dyDescent="0.3">
      <c r="A394" s="25">
        <v>15</v>
      </c>
      <c r="B394" s="25">
        <v>28</v>
      </c>
      <c r="C394" s="25" t="s">
        <v>197</v>
      </c>
      <c r="D394" s="25" t="s">
        <v>622</v>
      </c>
    </row>
    <row r="395" spans="1:4" x14ac:dyDescent="0.3">
      <c r="A395" s="25">
        <v>16</v>
      </c>
      <c r="B395" s="25">
        <v>29</v>
      </c>
      <c r="C395" s="25" t="s">
        <v>53</v>
      </c>
      <c r="D395" s="25" t="s">
        <v>622</v>
      </c>
    </row>
    <row r="396" spans="1:4" x14ac:dyDescent="0.3">
      <c r="A396" s="25">
        <v>17</v>
      </c>
      <c r="B396" s="25">
        <v>30</v>
      </c>
      <c r="C396" s="25" t="s">
        <v>64</v>
      </c>
      <c r="D396" s="25" t="s">
        <v>622</v>
      </c>
    </row>
    <row r="397" spans="1:4" x14ac:dyDescent="0.3">
      <c r="A397" s="25">
        <v>18</v>
      </c>
      <c r="B397" s="25">
        <v>33</v>
      </c>
      <c r="C397" s="25" t="s">
        <v>1153</v>
      </c>
      <c r="D397" s="25" t="s">
        <v>622</v>
      </c>
    </row>
    <row r="398" spans="1:4" x14ac:dyDescent="0.3">
      <c r="A398" s="27"/>
      <c r="B398" s="25">
        <v>34</v>
      </c>
      <c r="C398" s="25" t="s">
        <v>133</v>
      </c>
      <c r="D398" s="25" t="s">
        <v>622</v>
      </c>
    </row>
    <row r="399" spans="1:4" x14ac:dyDescent="0.3">
      <c r="A399" s="27"/>
      <c r="B399" s="25">
        <v>35</v>
      </c>
      <c r="C399" s="25" t="s">
        <v>55</v>
      </c>
      <c r="D399" s="25" t="s">
        <v>622</v>
      </c>
    </row>
    <row r="400" spans="1:4" x14ac:dyDescent="0.3">
      <c r="A400" s="27"/>
      <c r="B400" s="25">
        <v>36</v>
      </c>
      <c r="C400" s="25" t="s">
        <v>66</v>
      </c>
      <c r="D400" s="25" t="s">
        <v>622</v>
      </c>
    </row>
    <row r="401" spans="1:4" x14ac:dyDescent="0.3">
      <c r="A401" s="25">
        <v>19</v>
      </c>
      <c r="B401" s="25">
        <v>39</v>
      </c>
      <c r="C401" s="25" t="s">
        <v>1154</v>
      </c>
      <c r="D401" s="25" t="s">
        <v>622</v>
      </c>
    </row>
    <row r="402" spans="1:4" x14ac:dyDescent="0.3">
      <c r="A402" s="27"/>
      <c r="B402" s="25">
        <v>40</v>
      </c>
      <c r="C402" s="25" t="s">
        <v>1155</v>
      </c>
      <c r="D402" s="25" t="s">
        <v>622</v>
      </c>
    </row>
    <row r="403" spans="1:4" x14ac:dyDescent="0.3">
      <c r="A403" s="27"/>
      <c r="B403" s="25">
        <v>41</v>
      </c>
      <c r="C403" s="25" t="s">
        <v>261</v>
      </c>
      <c r="D403" s="25" t="s">
        <v>622</v>
      </c>
    </row>
    <row r="404" spans="1:4" x14ac:dyDescent="0.3">
      <c r="A404" s="27"/>
      <c r="B404" s="25">
        <v>42</v>
      </c>
      <c r="C404" s="25" t="s">
        <v>267</v>
      </c>
      <c r="D404" s="25" t="s">
        <v>622</v>
      </c>
    </row>
    <row r="405" spans="1:4" x14ac:dyDescent="0.3">
      <c r="A405" s="25">
        <v>21</v>
      </c>
      <c r="B405" s="25">
        <v>45</v>
      </c>
      <c r="C405" s="25" t="s">
        <v>284</v>
      </c>
      <c r="D405" s="25" t="s">
        <v>622</v>
      </c>
    </row>
    <row r="406" spans="1:4" x14ac:dyDescent="0.3">
      <c r="A406" s="25">
        <v>22</v>
      </c>
      <c r="B406" s="25">
        <v>46</v>
      </c>
      <c r="C406" s="25" t="s">
        <v>292</v>
      </c>
      <c r="D406" s="25" t="s">
        <v>622</v>
      </c>
    </row>
    <row r="407" spans="1:4" x14ac:dyDescent="0.3">
      <c r="A407" s="25">
        <v>23</v>
      </c>
      <c r="B407" s="25">
        <v>47</v>
      </c>
      <c r="C407" s="25" t="s">
        <v>302</v>
      </c>
      <c r="D407" s="25" t="s">
        <v>622</v>
      </c>
    </row>
    <row r="408" spans="1:4" x14ac:dyDescent="0.3">
      <c r="A408" s="25">
        <v>24</v>
      </c>
      <c r="B408" s="25">
        <v>48</v>
      </c>
      <c r="C408" s="25" t="s">
        <v>312</v>
      </c>
      <c r="D408" s="25" t="s">
        <v>622</v>
      </c>
    </row>
    <row r="409" spans="1:4" x14ac:dyDescent="0.3">
      <c r="A409" s="27"/>
      <c r="B409" s="25">
        <v>49</v>
      </c>
      <c r="C409" s="25" t="s">
        <v>28</v>
      </c>
      <c r="D409" s="25" t="s">
        <v>622</v>
      </c>
    </row>
    <row r="410" spans="1:4" x14ac:dyDescent="0.3">
      <c r="A410" s="27"/>
      <c r="B410" s="25">
        <v>50</v>
      </c>
      <c r="C410" s="25" t="s">
        <v>42</v>
      </c>
      <c r="D410" s="25" t="s">
        <v>622</v>
      </c>
    </row>
    <row r="411" spans="1:4" x14ac:dyDescent="0.3">
      <c r="A411" s="27"/>
      <c r="B411" s="25">
        <v>52</v>
      </c>
      <c r="C411" s="25" t="s">
        <v>181</v>
      </c>
      <c r="D411" s="25" t="s">
        <v>622</v>
      </c>
    </row>
    <row r="412" spans="1:4" x14ac:dyDescent="0.3">
      <c r="A412" s="25">
        <v>25</v>
      </c>
      <c r="B412" s="25">
        <v>53</v>
      </c>
      <c r="C412" s="25" t="s">
        <v>158</v>
      </c>
      <c r="D412" s="25" t="s">
        <v>622</v>
      </c>
    </row>
    <row r="413" spans="1:4" x14ac:dyDescent="0.3">
      <c r="A413" s="25">
        <v>26</v>
      </c>
      <c r="B413" s="25">
        <v>54</v>
      </c>
      <c r="C413" s="25" t="s">
        <v>53</v>
      </c>
      <c r="D413" s="25" t="s">
        <v>622</v>
      </c>
    </row>
    <row r="414" spans="1:4" x14ac:dyDescent="0.3">
      <c r="A414" s="27"/>
      <c r="B414" s="25">
        <v>59</v>
      </c>
      <c r="C414" s="25" t="s">
        <v>158</v>
      </c>
      <c r="D414" s="25" t="s">
        <v>622</v>
      </c>
    </row>
    <row r="415" spans="1:4" x14ac:dyDescent="0.3">
      <c r="A415" s="27"/>
      <c r="B415" s="27"/>
      <c r="C415" s="25" t="s">
        <v>181</v>
      </c>
      <c r="D415" s="25" t="s">
        <v>622</v>
      </c>
    </row>
    <row r="416" spans="1:4" x14ac:dyDescent="0.3">
      <c r="A416" s="27"/>
      <c r="B416" s="25">
        <v>63</v>
      </c>
      <c r="C416" s="25" t="s">
        <v>188</v>
      </c>
      <c r="D416" s="25" t="s">
        <v>622</v>
      </c>
    </row>
    <row r="417" spans="1:4" x14ac:dyDescent="0.3">
      <c r="A417" s="27"/>
      <c r="B417" s="25">
        <v>64</v>
      </c>
      <c r="C417" s="25" t="s">
        <v>197</v>
      </c>
      <c r="D417" s="25" t="s">
        <v>622</v>
      </c>
    </row>
    <row r="418" spans="1:4" x14ac:dyDescent="0.3">
      <c r="A418" s="27"/>
      <c r="B418" s="25">
        <v>65</v>
      </c>
      <c r="C418" s="25" t="s">
        <v>53</v>
      </c>
      <c r="D418" s="25" t="s">
        <v>622</v>
      </c>
    </row>
    <row r="419" spans="1:4" x14ac:dyDescent="0.3">
      <c r="A419" s="27"/>
      <c r="B419" s="25">
        <v>66</v>
      </c>
      <c r="C419" s="25" t="s">
        <v>64</v>
      </c>
      <c r="D419" s="25" t="s">
        <v>622</v>
      </c>
    </row>
    <row r="420" spans="1:4" x14ac:dyDescent="0.3">
      <c r="A420" s="25">
        <v>32</v>
      </c>
      <c r="B420" s="25">
        <v>67</v>
      </c>
      <c r="C420" s="25" t="s">
        <v>77</v>
      </c>
      <c r="D420" s="25" t="s">
        <v>622</v>
      </c>
    </row>
    <row r="421" spans="1:4" x14ac:dyDescent="0.3">
      <c r="A421" s="27"/>
      <c r="B421" s="25">
        <v>68</v>
      </c>
      <c r="C421" s="25" t="s">
        <v>147</v>
      </c>
      <c r="D421" s="25" t="s">
        <v>622</v>
      </c>
    </row>
    <row r="422" spans="1:4" x14ac:dyDescent="0.3">
      <c r="A422" s="25">
        <v>37</v>
      </c>
      <c r="B422" s="25">
        <v>78</v>
      </c>
      <c r="C422" s="25" t="s">
        <v>302</v>
      </c>
      <c r="D422" s="25" t="s">
        <v>622</v>
      </c>
    </row>
    <row r="423" spans="1:4" x14ac:dyDescent="0.3">
      <c r="A423" s="25">
        <v>38</v>
      </c>
      <c r="B423" s="25">
        <v>79</v>
      </c>
      <c r="C423" s="25" t="s">
        <v>55</v>
      </c>
      <c r="D423" s="25" t="s">
        <v>622</v>
      </c>
    </row>
    <row r="424" spans="1:4" x14ac:dyDescent="0.3">
      <c r="A424" s="27"/>
      <c r="B424" s="25">
        <v>82</v>
      </c>
      <c r="C424" s="25" t="s">
        <v>284</v>
      </c>
      <c r="D424" s="25" t="s">
        <v>622</v>
      </c>
    </row>
    <row r="425" spans="1:4" x14ac:dyDescent="0.3">
      <c r="A425" s="27"/>
      <c r="B425" s="25">
        <v>83</v>
      </c>
      <c r="C425" s="25" t="s">
        <v>292</v>
      </c>
      <c r="D425" s="25" t="s">
        <v>622</v>
      </c>
    </row>
    <row r="426" spans="1:4" x14ac:dyDescent="0.3">
      <c r="A426" s="27"/>
      <c r="B426" s="25">
        <v>85</v>
      </c>
      <c r="C426" s="25" t="s">
        <v>53</v>
      </c>
      <c r="D426" s="25" t="s">
        <v>622</v>
      </c>
    </row>
    <row r="427" spans="1:4" x14ac:dyDescent="0.3">
      <c r="A427" s="25">
        <v>41</v>
      </c>
      <c r="B427" s="25">
        <v>89</v>
      </c>
      <c r="C427" s="25" t="s">
        <v>250</v>
      </c>
      <c r="D427" s="25" t="s">
        <v>622</v>
      </c>
    </row>
    <row r="428" spans="1:4" x14ac:dyDescent="0.3">
      <c r="A428" s="25">
        <v>42</v>
      </c>
      <c r="B428" s="25">
        <v>90</v>
      </c>
      <c r="C428" s="25" t="s">
        <v>255</v>
      </c>
      <c r="D428" s="25" t="s">
        <v>622</v>
      </c>
    </row>
    <row r="429" spans="1:4" x14ac:dyDescent="0.3">
      <c r="A429" s="25">
        <v>43</v>
      </c>
      <c r="B429" s="25">
        <v>91</v>
      </c>
      <c r="C429" s="25" t="s">
        <v>261</v>
      </c>
      <c r="D429" s="25" t="s">
        <v>622</v>
      </c>
    </row>
    <row r="430" spans="1:4" x14ac:dyDescent="0.3">
      <c r="A430" s="25">
        <v>44</v>
      </c>
      <c r="B430" s="25">
        <v>92</v>
      </c>
      <c r="C430" s="25" t="s">
        <v>267</v>
      </c>
      <c r="D430" s="25" t="s">
        <v>622</v>
      </c>
    </row>
    <row r="431" spans="1:4" x14ac:dyDescent="0.3">
      <c r="A431" s="25">
        <v>45</v>
      </c>
      <c r="B431" s="25">
        <v>95</v>
      </c>
      <c r="C431" s="25" t="s">
        <v>66</v>
      </c>
      <c r="D431" s="25" t="s">
        <v>622</v>
      </c>
    </row>
    <row r="432" spans="1:4" x14ac:dyDescent="0.3">
      <c r="A432" s="25">
        <v>46</v>
      </c>
      <c r="B432" s="25">
        <v>96</v>
      </c>
      <c r="C432" s="25" t="s">
        <v>312</v>
      </c>
      <c r="D432" s="25" t="s">
        <v>622</v>
      </c>
    </row>
    <row r="436" spans="1:4" x14ac:dyDescent="0.3">
      <c r="A436" s="86" t="s">
        <v>1297</v>
      </c>
      <c r="B436" s="86" t="s">
        <v>1296</v>
      </c>
      <c r="C436" s="86" t="s">
        <v>641</v>
      </c>
      <c r="D436" s="86"/>
    </row>
    <row r="437" spans="1:4" x14ac:dyDescent="0.3">
      <c r="A437" s="27"/>
      <c r="B437" s="25">
        <v>7</v>
      </c>
      <c r="C437" s="25" t="s">
        <v>97</v>
      </c>
      <c r="D437" s="25" t="s">
        <v>622</v>
      </c>
    </row>
    <row r="438" spans="1:4" x14ac:dyDescent="0.3">
      <c r="A438" s="27"/>
      <c r="B438" s="25">
        <v>19</v>
      </c>
      <c r="C438" s="25" t="s">
        <v>97</v>
      </c>
      <c r="D438" s="25" t="s">
        <v>622</v>
      </c>
    </row>
    <row r="439" spans="1:4" x14ac:dyDescent="0.3">
      <c r="A439" s="27"/>
      <c r="B439" s="25">
        <v>21</v>
      </c>
      <c r="C439" s="25" t="s">
        <v>142</v>
      </c>
      <c r="D439" s="25" t="s">
        <v>622</v>
      </c>
    </row>
    <row r="440" spans="1:4" x14ac:dyDescent="0.3">
      <c r="A440" s="25">
        <v>11</v>
      </c>
      <c r="B440" s="25">
        <v>22</v>
      </c>
      <c r="C440" s="25" t="s">
        <v>148</v>
      </c>
      <c r="D440" s="25" t="s">
        <v>622</v>
      </c>
    </row>
    <row r="441" spans="1:4" x14ac:dyDescent="0.3">
      <c r="A441" s="25">
        <v>12</v>
      </c>
      <c r="B441" s="25">
        <v>23</v>
      </c>
      <c r="C441" s="25" t="s">
        <v>159</v>
      </c>
      <c r="D441" s="25" t="s">
        <v>622</v>
      </c>
    </row>
    <row r="442" spans="1:4" x14ac:dyDescent="0.3">
      <c r="A442" s="25">
        <v>14</v>
      </c>
      <c r="B442" s="25">
        <v>27</v>
      </c>
      <c r="C442" s="25" t="s">
        <v>191</v>
      </c>
      <c r="D442" s="25" t="s">
        <v>622</v>
      </c>
    </row>
    <row r="443" spans="1:4" x14ac:dyDescent="0.3">
      <c r="A443" s="25">
        <v>15</v>
      </c>
      <c r="B443" s="25">
        <v>28</v>
      </c>
      <c r="C443" s="25" t="s">
        <v>199</v>
      </c>
      <c r="D443" s="25" t="s">
        <v>622</v>
      </c>
    </row>
    <row r="444" spans="1:4" x14ac:dyDescent="0.3">
      <c r="A444" s="27"/>
      <c r="B444" s="25">
        <v>32</v>
      </c>
      <c r="C444" s="25" t="s">
        <v>227</v>
      </c>
      <c r="D444" s="25" t="s">
        <v>622</v>
      </c>
    </row>
    <row r="445" spans="1:4" x14ac:dyDescent="0.3">
      <c r="A445" s="27"/>
      <c r="B445" s="25">
        <v>36</v>
      </c>
      <c r="C445" s="25" t="s">
        <v>199</v>
      </c>
      <c r="D445" s="25" t="s">
        <v>622</v>
      </c>
    </row>
    <row r="446" spans="1:4" x14ac:dyDescent="0.3">
      <c r="A446" s="25">
        <v>20</v>
      </c>
      <c r="B446" s="25">
        <v>44</v>
      </c>
      <c r="C446" s="25" t="s">
        <v>277</v>
      </c>
      <c r="D446" s="25" t="s">
        <v>622</v>
      </c>
    </row>
    <row r="447" spans="1:4" x14ac:dyDescent="0.3">
      <c r="A447" s="25">
        <v>22</v>
      </c>
      <c r="B447" s="25">
        <v>46</v>
      </c>
      <c r="C447" s="25" t="s">
        <v>294</v>
      </c>
      <c r="D447" s="25" t="s">
        <v>622</v>
      </c>
    </row>
    <row r="448" spans="1:4" x14ac:dyDescent="0.3">
      <c r="A448" s="27"/>
      <c r="B448" s="25">
        <v>49</v>
      </c>
      <c r="C448" s="25" t="s">
        <v>319</v>
      </c>
      <c r="D448" s="25" t="s">
        <v>622</v>
      </c>
    </row>
    <row r="449" spans="1:4" x14ac:dyDescent="0.3">
      <c r="A449" s="27"/>
      <c r="B449" s="25">
        <v>50</v>
      </c>
      <c r="C449" s="25" t="s">
        <v>327</v>
      </c>
      <c r="D449" s="25" t="s">
        <v>622</v>
      </c>
    </row>
    <row r="450" spans="1:4" x14ac:dyDescent="0.3">
      <c r="A450" s="27"/>
      <c r="B450" s="25">
        <v>51</v>
      </c>
      <c r="C450" s="25" t="s">
        <v>334</v>
      </c>
      <c r="D450" s="25" t="s">
        <v>622</v>
      </c>
    </row>
    <row r="451" spans="1:4" x14ac:dyDescent="0.3">
      <c r="A451" s="27"/>
      <c r="B451" s="25">
        <v>52</v>
      </c>
      <c r="C451" s="25" t="s">
        <v>344</v>
      </c>
      <c r="D451" s="25" t="s">
        <v>622</v>
      </c>
    </row>
    <row r="452" spans="1:4" x14ac:dyDescent="0.3">
      <c r="A452" s="25">
        <v>25</v>
      </c>
      <c r="B452" s="25">
        <v>53</v>
      </c>
      <c r="C452" s="25" t="s">
        <v>97</v>
      </c>
      <c r="D452" s="25" t="s">
        <v>622</v>
      </c>
    </row>
    <row r="453" spans="1:4" x14ac:dyDescent="0.3">
      <c r="A453" s="25">
        <v>26</v>
      </c>
      <c r="B453" s="25">
        <v>54</v>
      </c>
      <c r="C453" s="25" t="s">
        <v>362</v>
      </c>
      <c r="D453" s="25" t="s">
        <v>622</v>
      </c>
    </row>
    <row r="454" spans="1:4" x14ac:dyDescent="0.3">
      <c r="A454" s="25">
        <v>27</v>
      </c>
      <c r="B454" s="25">
        <v>55</v>
      </c>
      <c r="C454" s="25" t="s">
        <v>369</v>
      </c>
      <c r="D454" s="25" t="s">
        <v>622</v>
      </c>
    </row>
    <row r="455" spans="1:4" x14ac:dyDescent="0.3">
      <c r="A455" s="25">
        <v>28</v>
      </c>
      <c r="B455" s="25">
        <v>56</v>
      </c>
      <c r="C455" s="25" t="s">
        <v>277</v>
      </c>
      <c r="D455" s="25" t="s">
        <v>622</v>
      </c>
    </row>
    <row r="456" spans="1:4" x14ac:dyDescent="0.3">
      <c r="A456" s="25">
        <v>29</v>
      </c>
      <c r="B456" s="25">
        <v>57</v>
      </c>
      <c r="C456" s="25" t="s">
        <v>191</v>
      </c>
      <c r="D456" s="25" t="s">
        <v>622</v>
      </c>
    </row>
    <row r="457" spans="1:4" x14ac:dyDescent="0.3">
      <c r="A457" s="27"/>
      <c r="B457" s="25">
        <v>58</v>
      </c>
      <c r="C457" s="25" t="s">
        <v>159</v>
      </c>
      <c r="D457" s="25" t="s">
        <v>622</v>
      </c>
    </row>
    <row r="458" spans="1:4" x14ac:dyDescent="0.3">
      <c r="A458" s="27"/>
      <c r="B458" s="25">
        <v>63</v>
      </c>
      <c r="C458" s="25" t="s">
        <v>398</v>
      </c>
      <c r="D458" s="25" t="s">
        <v>622</v>
      </c>
    </row>
    <row r="459" spans="1:4" x14ac:dyDescent="0.3">
      <c r="A459" s="27"/>
      <c r="B459" s="25">
        <v>69</v>
      </c>
      <c r="C459" s="25" t="s">
        <v>429</v>
      </c>
      <c r="D459" s="25" t="s">
        <v>622</v>
      </c>
    </row>
    <row r="460" spans="1:4" x14ac:dyDescent="0.3">
      <c r="A460" s="25">
        <v>33</v>
      </c>
      <c r="B460" s="25">
        <v>70</v>
      </c>
      <c r="C460" s="25" t="s">
        <v>435</v>
      </c>
      <c r="D460" s="25" t="s">
        <v>622</v>
      </c>
    </row>
    <row r="461" spans="1:4" x14ac:dyDescent="0.3">
      <c r="A461" s="25">
        <v>34</v>
      </c>
      <c r="B461" s="25">
        <v>71</v>
      </c>
      <c r="C461" s="25" t="s">
        <v>442</v>
      </c>
      <c r="D461" s="25" t="s">
        <v>622</v>
      </c>
    </row>
    <row r="462" spans="1:4" x14ac:dyDescent="0.3">
      <c r="A462" s="25">
        <v>35</v>
      </c>
      <c r="B462" s="25">
        <v>72</v>
      </c>
      <c r="C462" s="25" t="s">
        <v>448</v>
      </c>
      <c r="D462" s="25" t="s">
        <v>622</v>
      </c>
    </row>
    <row r="463" spans="1:4" x14ac:dyDescent="0.3">
      <c r="A463" s="25">
        <v>36</v>
      </c>
      <c r="B463" s="25">
        <v>73</v>
      </c>
      <c r="C463" s="25" t="s">
        <v>454</v>
      </c>
      <c r="D463" s="25" t="s">
        <v>622</v>
      </c>
    </row>
    <row r="464" spans="1:4" x14ac:dyDescent="0.3">
      <c r="A464" s="27"/>
      <c r="B464" s="25">
        <v>74</v>
      </c>
      <c r="C464" s="25" t="s">
        <v>460</v>
      </c>
      <c r="D464" s="25" t="s">
        <v>622</v>
      </c>
    </row>
    <row r="465" spans="1:4" x14ac:dyDescent="0.3">
      <c r="A465" s="27"/>
      <c r="B465" s="25">
        <v>75</v>
      </c>
      <c r="C465" s="25" t="s">
        <v>467</v>
      </c>
      <c r="D465" s="25" t="s">
        <v>622</v>
      </c>
    </row>
    <row r="466" spans="1:4" x14ac:dyDescent="0.3">
      <c r="A466" s="27"/>
      <c r="B466" s="25">
        <v>76</v>
      </c>
      <c r="C466" s="25" t="s">
        <v>473</v>
      </c>
      <c r="D466" s="25" t="s">
        <v>622</v>
      </c>
    </row>
    <row r="467" spans="1:4" x14ac:dyDescent="0.3">
      <c r="A467" s="27"/>
      <c r="B467" s="25">
        <v>77</v>
      </c>
      <c r="C467" s="25" t="s">
        <v>142</v>
      </c>
      <c r="D467" s="25" t="s">
        <v>622</v>
      </c>
    </row>
    <row r="468" spans="1:4" x14ac:dyDescent="0.3">
      <c r="A468" s="25">
        <v>38</v>
      </c>
      <c r="B468" s="25">
        <v>79</v>
      </c>
      <c r="C468" s="25" t="s">
        <v>344</v>
      </c>
      <c r="D468" s="25" t="s">
        <v>622</v>
      </c>
    </row>
    <row r="469" spans="1:4" x14ac:dyDescent="0.3">
      <c r="A469" s="25">
        <v>39</v>
      </c>
      <c r="B469" s="25">
        <v>80</v>
      </c>
      <c r="C469" s="25" t="s">
        <v>398</v>
      </c>
      <c r="D469" s="25" t="s">
        <v>622</v>
      </c>
    </row>
    <row r="470" spans="1:4" x14ac:dyDescent="0.3">
      <c r="A470" s="25">
        <v>40</v>
      </c>
      <c r="B470" s="25">
        <v>81</v>
      </c>
      <c r="C470" s="25" t="s">
        <v>362</v>
      </c>
      <c r="D470" s="25" t="s">
        <v>622</v>
      </c>
    </row>
    <row r="471" spans="1:4" x14ac:dyDescent="0.3">
      <c r="A471" s="27"/>
      <c r="B471" s="25">
        <v>84</v>
      </c>
      <c r="C471" s="25" t="s">
        <v>148</v>
      </c>
      <c r="D471" s="25" t="s">
        <v>622</v>
      </c>
    </row>
    <row r="472" spans="1:4" x14ac:dyDescent="0.3">
      <c r="A472" s="27"/>
      <c r="B472" s="25">
        <v>85</v>
      </c>
      <c r="C472" s="25" t="s">
        <v>369</v>
      </c>
      <c r="D472" s="25" t="s">
        <v>622</v>
      </c>
    </row>
    <row r="473" spans="1:4" x14ac:dyDescent="0.3">
      <c r="A473" s="27"/>
      <c r="B473" s="25">
        <v>88</v>
      </c>
      <c r="C473" s="25" t="s">
        <v>294</v>
      </c>
      <c r="D473" s="25" t="s">
        <v>622</v>
      </c>
    </row>
    <row r="474" spans="1:4" x14ac:dyDescent="0.3">
      <c r="A474" s="25">
        <v>41</v>
      </c>
      <c r="B474" s="25">
        <v>89</v>
      </c>
      <c r="C474" s="25" t="s">
        <v>319</v>
      </c>
      <c r="D474" s="25" t="s">
        <v>622</v>
      </c>
    </row>
    <row r="475" spans="1:4" x14ac:dyDescent="0.3">
      <c r="A475" s="25">
        <v>42</v>
      </c>
      <c r="B475" s="25">
        <v>90</v>
      </c>
      <c r="C475" s="25" t="s">
        <v>327</v>
      </c>
      <c r="D475" s="25" t="s">
        <v>622</v>
      </c>
    </row>
    <row r="476" spans="1:4" x14ac:dyDescent="0.3">
      <c r="A476" s="25">
        <v>43</v>
      </c>
      <c r="B476" s="25">
        <v>91</v>
      </c>
      <c r="C476" s="25" t="s">
        <v>334</v>
      </c>
      <c r="D476" s="25" t="s">
        <v>622</v>
      </c>
    </row>
    <row r="477" spans="1:4" x14ac:dyDescent="0.3">
      <c r="A477" s="27"/>
      <c r="B477" s="25">
        <v>100</v>
      </c>
      <c r="C477" s="25" t="s">
        <v>227</v>
      </c>
      <c r="D477" s="25" t="s">
        <v>622</v>
      </c>
    </row>
    <row r="481" spans="1:4" x14ac:dyDescent="0.3">
      <c r="A481" s="86" t="s">
        <v>1297</v>
      </c>
      <c r="B481" s="86" t="s">
        <v>1296</v>
      </c>
      <c r="C481" s="86" t="s">
        <v>674</v>
      </c>
      <c r="D481" s="86"/>
    </row>
    <row r="482" spans="1:4" x14ac:dyDescent="0.3">
      <c r="A482" s="27"/>
      <c r="B482" s="25">
        <v>1</v>
      </c>
      <c r="C482" s="25" t="s">
        <v>1156</v>
      </c>
      <c r="D482" s="25" t="s">
        <v>622</v>
      </c>
    </row>
    <row r="483" spans="1:4" x14ac:dyDescent="0.3">
      <c r="A483" s="27"/>
      <c r="B483" s="25">
        <v>2</v>
      </c>
      <c r="C483" s="25" t="s">
        <v>1157</v>
      </c>
      <c r="D483" s="25" t="s">
        <v>622</v>
      </c>
    </row>
    <row r="484" spans="1:4" x14ac:dyDescent="0.3">
      <c r="A484" s="25">
        <v>35</v>
      </c>
      <c r="B484" s="25">
        <v>72</v>
      </c>
      <c r="C484" s="25" t="s">
        <v>1156</v>
      </c>
      <c r="D484" s="25" t="s">
        <v>622</v>
      </c>
    </row>
    <row r="485" spans="1:4" x14ac:dyDescent="0.3">
      <c r="A485" s="25">
        <v>36</v>
      </c>
      <c r="B485" s="25">
        <v>73</v>
      </c>
      <c r="C485" s="25" t="s">
        <v>1157</v>
      </c>
      <c r="D485" s="25" t="s">
        <v>622</v>
      </c>
    </row>
    <row r="489" spans="1:4" x14ac:dyDescent="0.3">
      <c r="A489" s="86" t="s">
        <v>1297</v>
      </c>
      <c r="B489" s="86" t="s">
        <v>1296</v>
      </c>
      <c r="C489" s="86" t="s">
        <v>1158</v>
      </c>
      <c r="D489" s="86"/>
    </row>
    <row r="493" spans="1:4" x14ac:dyDescent="0.3">
      <c r="A493" s="86" t="s">
        <v>1297</v>
      </c>
      <c r="B493" s="86" t="s">
        <v>1296</v>
      </c>
      <c r="C493" s="86" t="s">
        <v>1159</v>
      </c>
      <c r="D493" s="86"/>
    </row>
    <row r="497" spans="1:4" x14ac:dyDescent="0.3">
      <c r="A497" s="86" t="s">
        <v>1297</v>
      </c>
      <c r="B497" s="86" t="s">
        <v>1296</v>
      </c>
      <c r="C497" s="86" t="s">
        <v>621</v>
      </c>
      <c r="D497" s="86"/>
    </row>
    <row r="498" spans="1:4" x14ac:dyDescent="0.3">
      <c r="A498" s="27"/>
      <c r="B498" s="25">
        <v>1</v>
      </c>
      <c r="C498" s="25" t="s">
        <v>1160</v>
      </c>
      <c r="D498" s="25" t="s">
        <v>622</v>
      </c>
    </row>
    <row r="499" spans="1:4" x14ac:dyDescent="0.3">
      <c r="A499" s="27"/>
      <c r="B499" s="25">
        <v>2</v>
      </c>
      <c r="C499" s="25" t="s">
        <v>1161</v>
      </c>
      <c r="D499" s="25" t="s">
        <v>622</v>
      </c>
    </row>
    <row r="500" spans="1:4" x14ac:dyDescent="0.3">
      <c r="A500" s="25">
        <v>1</v>
      </c>
      <c r="B500" s="25">
        <v>3</v>
      </c>
      <c r="C500" s="25" t="s">
        <v>1162</v>
      </c>
      <c r="D500" s="25" t="s">
        <v>622</v>
      </c>
    </row>
    <row r="501" spans="1:4" x14ac:dyDescent="0.3">
      <c r="A501" s="25">
        <v>2</v>
      </c>
      <c r="B501" s="25">
        <v>4</v>
      </c>
      <c r="C501" s="25" t="s">
        <v>1163</v>
      </c>
      <c r="D501" s="25" t="s">
        <v>622</v>
      </c>
    </row>
    <row r="502" spans="1:4" x14ac:dyDescent="0.3">
      <c r="A502" s="27"/>
      <c r="B502" s="25">
        <v>5</v>
      </c>
      <c r="C502" s="25" t="s">
        <v>1164</v>
      </c>
      <c r="D502" s="25" t="s">
        <v>622</v>
      </c>
    </row>
    <row r="503" spans="1:4" x14ac:dyDescent="0.3">
      <c r="A503" s="27"/>
      <c r="B503" s="25">
        <v>6</v>
      </c>
      <c r="C503" s="25" t="s">
        <v>1165</v>
      </c>
      <c r="D503" s="25" t="s">
        <v>622</v>
      </c>
    </row>
    <row r="504" spans="1:4" x14ac:dyDescent="0.3">
      <c r="A504" s="27"/>
      <c r="B504" s="25">
        <v>7</v>
      </c>
      <c r="C504" s="25" t="s">
        <v>1166</v>
      </c>
      <c r="D504" s="25" t="s">
        <v>622</v>
      </c>
    </row>
    <row r="505" spans="1:4" x14ac:dyDescent="0.3">
      <c r="A505" s="27"/>
      <c r="B505" s="25">
        <v>18</v>
      </c>
      <c r="C505" s="25" t="s">
        <v>1167</v>
      </c>
      <c r="D505" s="25" t="s">
        <v>622</v>
      </c>
    </row>
    <row r="506" spans="1:4" x14ac:dyDescent="0.3">
      <c r="A506" s="27"/>
      <c r="B506" s="25">
        <v>19</v>
      </c>
      <c r="C506" s="25" t="s">
        <v>1168</v>
      </c>
      <c r="D506" s="25" t="s">
        <v>622</v>
      </c>
    </row>
    <row r="507" spans="1:4" x14ac:dyDescent="0.3">
      <c r="A507" s="27"/>
      <c r="B507" s="25">
        <v>20</v>
      </c>
      <c r="C507" s="25" t="s">
        <v>1169</v>
      </c>
      <c r="D507" s="25" t="s">
        <v>622</v>
      </c>
    </row>
    <row r="508" spans="1:4" x14ac:dyDescent="0.3">
      <c r="A508" s="27"/>
      <c r="B508" s="25">
        <v>21</v>
      </c>
      <c r="C508" s="25" t="s">
        <v>140</v>
      </c>
      <c r="D508" s="25" t="s">
        <v>622</v>
      </c>
    </row>
    <row r="509" spans="1:4" x14ac:dyDescent="0.3">
      <c r="A509" s="25">
        <v>11</v>
      </c>
      <c r="B509" s="25">
        <v>22</v>
      </c>
      <c r="C509" s="25" t="s">
        <v>1170</v>
      </c>
      <c r="D509" s="25" t="s">
        <v>622</v>
      </c>
    </row>
    <row r="510" spans="1:4" x14ac:dyDescent="0.3">
      <c r="A510" s="25">
        <v>12</v>
      </c>
      <c r="B510" s="25">
        <v>23</v>
      </c>
      <c r="C510" s="25" t="s">
        <v>1171</v>
      </c>
      <c r="D510" s="25" t="s">
        <v>622</v>
      </c>
    </row>
    <row r="511" spans="1:4" x14ac:dyDescent="0.3">
      <c r="A511" s="27"/>
      <c r="B511" s="25">
        <v>24</v>
      </c>
      <c r="C511" s="25" t="s">
        <v>1172</v>
      </c>
      <c r="D511" s="25" t="s">
        <v>622</v>
      </c>
    </row>
    <row r="512" spans="1:4" x14ac:dyDescent="0.3">
      <c r="A512" s="27"/>
      <c r="B512" s="25">
        <v>25</v>
      </c>
      <c r="C512" s="25" t="s">
        <v>1173</v>
      </c>
      <c r="D512" s="25" t="s">
        <v>622</v>
      </c>
    </row>
    <row r="513" spans="1:4" x14ac:dyDescent="0.3">
      <c r="A513" s="25">
        <v>13</v>
      </c>
      <c r="B513" s="25">
        <v>26</v>
      </c>
      <c r="C513" s="25" t="s">
        <v>1174</v>
      </c>
      <c r="D513" s="25" t="s">
        <v>622</v>
      </c>
    </row>
    <row r="514" spans="1:4" x14ac:dyDescent="0.3">
      <c r="A514" s="25">
        <v>14</v>
      </c>
      <c r="B514" s="25">
        <v>27</v>
      </c>
      <c r="C514" s="25" t="s">
        <v>1175</v>
      </c>
      <c r="D514" s="25" t="s">
        <v>622</v>
      </c>
    </row>
    <row r="515" spans="1:4" x14ac:dyDescent="0.3">
      <c r="A515" s="25">
        <v>15</v>
      </c>
      <c r="B515" s="25">
        <v>28</v>
      </c>
      <c r="C515" s="25" t="s">
        <v>1176</v>
      </c>
      <c r="D515" s="25" t="s">
        <v>622</v>
      </c>
    </row>
    <row r="516" spans="1:4" x14ac:dyDescent="0.3">
      <c r="A516" s="25">
        <v>16</v>
      </c>
      <c r="B516" s="25">
        <v>29</v>
      </c>
      <c r="C516" s="25" t="s">
        <v>1177</v>
      </c>
      <c r="D516" s="25" t="s">
        <v>622</v>
      </c>
    </row>
    <row r="517" spans="1:4" x14ac:dyDescent="0.3">
      <c r="A517" s="25">
        <v>17</v>
      </c>
      <c r="B517" s="25">
        <v>30</v>
      </c>
      <c r="C517" s="25" t="s">
        <v>1178</v>
      </c>
      <c r="D517" s="25" t="s">
        <v>622</v>
      </c>
    </row>
    <row r="518" spans="1:4" x14ac:dyDescent="0.3">
      <c r="A518" s="27"/>
      <c r="B518" s="25">
        <v>31</v>
      </c>
      <c r="C518" s="25" t="s">
        <v>1179</v>
      </c>
      <c r="D518" s="25" t="s">
        <v>622</v>
      </c>
    </row>
    <row r="519" spans="1:4" x14ac:dyDescent="0.3">
      <c r="A519" s="27"/>
      <c r="B519" s="25">
        <v>32</v>
      </c>
      <c r="C519" s="25" t="s">
        <v>1180</v>
      </c>
      <c r="D519" s="25" t="s">
        <v>622</v>
      </c>
    </row>
    <row r="520" spans="1:4" x14ac:dyDescent="0.3">
      <c r="A520" s="25">
        <v>18</v>
      </c>
      <c r="B520" s="25">
        <v>33</v>
      </c>
      <c r="C520" s="25" t="s">
        <v>1181</v>
      </c>
      <c r="D520" s="25" t="s">
        <v>622</v>
      </c>
    </row>
    <row r="521" spans="1:4" x14ac:dyDescent="0.3">
      <c r="A521" s="27"/>
      <c r="B521" s="25">
        <v>34</v>
      </c>
      <c r="C521" s="25" t="s">
        <v>1182</v>
      </c>
      <c r="D521" s="25" t="s">
        <v>622</v>
      </c>
    </row>
    <row r="522" spans="1:4" x14ac:dyDescent="0.3">
      <c r="A522" s="27"/>
      <c r="B522" s="25">
        <v>35</v>
      </c>
      <c r="C522" s="25" t="s">
        <v>1183</v>
      </c>
      <c r="D522" s="25" t="s">
        <v>622</v>
      </c>
    </row>
    <row r="523" spans="1:4" x14ac:dyDescent="0.3">
      <c r="A523" s="27"/>
      <c r="B523" s="25">
        <v>36</v>
      </c>
      <c r="C523" s="25" t="s">
        <v>1184</v>
      </c>
      <c r="D523" s="25" t="s">
        <v>622</v>
      </c>
    </row>
    <row r="524" spans="1:4" x14ac:dyDescent="0.3">
      <c r="A524" s="25">
        <v>19</v>
      </c>
      <c r="B524" s="25">
        <v>39</v>
      </c>
      <c r="C524" s="25" t="s">
        <v>1185</v>
      </c>
      <c r="D524" s="25" t="s">
        <v>622</v>
      </c>
    </row>
    <row r="525" spans="1:4" x14ac:dyDescent="0.3">
      <c r="A525" s="27"/>
      <c r="B525" s="25">
        <v>40</v>
      </c>
      <c r="C525" s="25" t="s">
        <v>1186</v>
      </c>
      <c r="D525" s="25" t="s">
        <v>622</v>
      </c>
    </row>
    <row r="526" spans="1:4" x14ac:dyDescent="0.3">
      <c r="A526" s="27"/>
      <c r="B526" s="25">
        <v>41</v>
      </c>
      <c r="C526" s="25" t="s">
        <v>1187</v>
      </c>
      <c r="D526" s="25" t="s">
        <v>622</v>
      </c>
    </row>
    <row r="527" spans="1:4" x14ac:dyDescent="0.3">
      <c r="A527" s="27"/>
      <c r="B527" s="25">
        <v>42</v>
      </c>
      <c r="C527" s="25" t="s">
        <v>1188</v>
      </c>
      <c r="D527" s="25" t="s">
        <v>622</v>
      </c>
    </row>
    <row r="528" spans="1:4" x14ac:dyDescent="0.3">
      <c r="A528" s="27"/>
      <c r="B528" s="25">
        <v>43</v>
      </c>
      <c r="C528" s="25" t="s">
        <v>270</v>
      </c>
      <c r="D528" s="25" t="s">
        <v>622</v>
      </c>
    </row>
    <row r="529" spans="1:4" x14ac:dyDescent="0.3">
      <c r="A529" s="25">
        <v>20</v>
      </c>
      <c r="B529" s="25">
        <v>44</v>
      </c>
      <c r="C529" s="25" t="s">
        <v>276</v>
      </c>
      <c r="D529" s="25" t="s">
        <v>622</v>
      </c>
    </row>
    <row r="530" spans="1:4" x14ac:dyDescent="0.3">
      <c r="A530" s="25">
        <v>21</v>
      </c>
      <c r="B530" s="25">
        <v>45</v>
      </c>
      <c r="C530" s="25" t="s">
        <v>1189</v>
      </c>
      <c r="D530" s="25" t="s">
        <v>622</v>
      </c>
    </row>
    <row r="531" spans="1:4" x14ac:dyDescent="0.3">
      <c r="A531" s="25">
        <v>22</v>
      </c>
      <c r="B531" s="25">
        <v>46</v>
      </c>
      <c r="C531" s="25" t="s">
        <v>1190</v>
      </c>
      <c r="D531" s="25" t="s">
        <v>622</v>
      </c>
    </row>
    <row r="532" spans="1:4" x14ac:dyDescent="0.3">
      <c r="A532" s="25">
        <v>23</v>
      </c>
      <c r="B532" s="25">
        <v>47</v>
      </c>
      <c r="C532" s="25" t="s">
        <v>1191</v>
      </c>
      <c r="D532" s="25" t="s">
        <v>622</v>
      </c>
    </row>
    <row r="533" spans="1:4" x14ac:dyDescent="0.3">
      <c r="A533" s="25">
        <v>24</v>
      </c>
      <c r="B533" s="25">
        <v>48</v>
      </c>
      <c r="C533" s="25" t="s">
        <v>1192</v>
      </c>
      <c r="D533" s="25" t="s">
        <v>622</v>
      </c>
    </row>
    <row r="534" spans="1:4" x14ac:dyDescent="0.3">
      <c r="A534" s="27"/>
      <c r="B534" s="25">
        <v>49</v>
      </c>
      <c r="C534" s="25" t="s">
        <v>1193</v>
      </c>
      <c r="D534" s="25" t="s">
        <v>622</v>
      </c>
    </row>
    <row r="535" spans="1:4" x14ac:dyDescent="0.3">
      <c r="A535" s="27"/>
      <c r="B535" s="25">
        <v>50</v>
      </c>
      <c r="C535" s="25" t="s">
        <v>1194</v>
      </c>
      <c r="D535" s="25" t="s">
        <v>622</v>
      </c>
    </row>
    <row r="536" spans="1:4" x14ac:dyDescent="0.3">
      <c r="A536" s="27"/>
      <c r="B536" s="25">
        <v>51</v>
      </c>
      <c r="C536" s="25" t="s">
        <v>1195</v>
      </c>
      <c r="D536" s="25" t="s">
        <v>622</v>
      </c>
    </row>
    <row r="537" spans="1:4" x14ac:dyDescent="0.3">
      <c r="A537" s="27"/>
      <c r="B537" s="25">
        <v>52</v>
      </c>
      <c r="C537" s="25" t="s">
        <v>1196</v>
      </c>
      <c r="D537" s="25" t="s">
        <v>622</v>
      </c>
    </row>
    <row r="538" spans="1:4" x14ac:dyDescent="0.3">
      <c r="A538" s="25">
        <v>25</v>
      </c>
      <c r="B538" s="25">
        <v>53</v>
      </c>
      <c r="C538" s="25" t="s">
        <v>1197</v>
      </c>
      <c r="D538" s="25" t="s">
        <v>622</v>
      </c>
    </row>
    <row r="539" spans="1:4" x14ac:dyDescent="0.3">
      <c r="A539" s="25">
        <v>26</v>
      </c>
      <c r="B539" s="25">
        <v>54</v>
      </c>
      <c r="C539" s="25" t="s">
        <v>1198</v>
      </c>
      <c r="D539" s="25" t="s">
        <v>622</v>
      </c>
    </row>
    <row r="540" spans="1:4" x14ac:dyDescent="0.3">
      <c r="A540" s="25">
        <v>27</v>
      </c>
      <c r="B540" s="25">
        <v>55</v>
      </c>
      <c r="C540" s="25" t="s">
        <v>1199</v>
      </c>
      <c r="D540" s="25" t="s">
        <v>622</v>
      </c>
    </row>
    <row r="541" spans="1:4" x14ac:dyDescent="0.3">
      <c r="A541" s="25">
        <v>28</v>
      </c>
      <c r="B541" s="25">
        <v>56</v>
      </c>
      <c r="C541" s="25" t="s">
        <v>1200</v>
      </c>
      <c r="D541" s="25" t="s">
        <v>622</v>
      </c>
    </row>
    <row r="542" spans="1:4" x14ac:dyDescent="0.3">
      <c r="A542" s="25">
        <v>29</v>
      </c>
      <c r="B542" s="25">
        <v>57</v>
      </c>
      <c r="C542" s="25" t="s">
        <v>1201</v>
      </c>
      <c r="D542" s="25" t="s">
        <v>622</v>
      </c>
    </row>
    <row r="543" spans="1:4" x14ac:dyDescent="0.3">
      <c r="A543" s="27"/>
      <c r="B543" s="25">
        <v>58</v>
      </c>
      <c r="C543" s="25" t="s">
        <v>1202</v>
      </c>
      <c r="D543" s="25" t="s">
        <v>622</v>
      </c>
    </row>
    <row r="544" spans="1:4" x14ac:dyDescent="0.3">
      <c r="A544" s="27"/>
      <c r="B544" s="25">
        <v>59</v>
      </c>
      <c r="C544" s="25" t="s">
        <v>393</v>
      </c>
      <c r="D544" s="25" t="s">
        <v>622</v>
      </c>
    </row>
    <row r="545" spans="1:4" x14ac:dyDescent="0.3">
      <c r="A545" s="27"/>
      <c r="B545" s="27"/>
      <c r="C545" s="25" t="s">
        <v>590</v>
      </c>
      <c r="D545" s="25" t="s">
        <v>622</v>
      </c>
    </row>
    <row r="546" spans="1:4" x14ac:dyDescent="0.3">
      <c r="A546" s="27"/>
      <c r="B546" s="25">
        <v>63</v>
      </c>
      <c r="C546" s="25" t="s">
        <v>1203</v>
      </c>
      <c r="D546" s="25" t="s">
        <v>622</v>
      </c>
    </row>
    <row r="547" spans="1:4" x14ac:dyDescent="0.3">
      <c r="A547" s="27"/>
      <c r="B547" s="25">
        <v>64</v>
      </c>
      <c r="C547" s="25" t="s">
        <v>1204</v>
      </c>
      <c r="D547" s="25" t="s">
        <v>622</v>
      </c>
    </row>
    <row r="548" spans="1:4" x14ac:dyDescent="0.3">
      <c r="A548" s="27"/>
      <c r="B548" s="25">
        <v>65</v>
      </c>
      <c r="C548" s="25" t="s">
        <v>1205</v>
      </c>
      <c r="D548" s="25" t="s">
        <v>622</v>
      </c>
    </row>
    <row r="549" spans="1:4" x14ac:dyDescent="0.3">
      <c r="A549" s="27"/>
      <c r="B549" s="25">
        <v>66</v>
      </c>
      <c r="C549" s="25" t="s">
        <v>1206</v>
      </c>
      <c r="D549" s="25" t="s">
        <v>622</v>
      </c>
    </row>
    <row r="550" spans="1:4" x14ac:dyDescent="0.3">
      <c r="A550" s="25">
        <v>32</v>
      </c>
      <c r="B550" s="25">
        <v>67</v>
      </c>
      <c r="C550" s="25" t="s">
        <v>1207</v>
      </c>
      <c r="D550" s="25" t="s">
        <v>622</v>
      </c>
    </row>
    <row r="551" spans="1:4" x14ac:dyDescent="0.3">
      <c r="A551" s="27"/>
      <c r="B551" s="25">
        <v>68</v>
      </c>
      <c r="C551" s="25" t="s">
        <v>1208</v>
      </c>
      <c r="D551" s="25" t="s">
        <v>622</v>
      </c>
    </row>
    <row r="552" spans="1:4" x14ac:dyDescent="0.3">
      <c r="A552" s="27"/>
      <c r="B552" s="25">
        <v>69</v>
      </c>
      <c r="C552" s="25" t="s">
        <v>1209</v>
      </c>
      <c r="D552" s="25" t="s">
        <v>622</v>
      </c>
    </row>
    <row r="553" spans="1:4" x14ac:dyDescent="0.3">
      <c r="A553" s="25">
        <v>33</v>
      </c>
      <c r="B553" s="25">
        <v>70</v>
      </c>
      <c r="C553" s="25" t="s">
        <v>1210</v>
      </c>
      <c r="D553" s="25" t="s">
        <v>622</v>
      </c>
    </row>
    <row r="554" spans="1:4" x14ac:dyDescent="0.3">
      <c r="A554" s="25">
        <v>34</v>
      </c>
      <c r="B554" s="25">
        <v>71</v>
      </c>
      <c r="C554" s="25" t="s">
        <v>1211</v>
      </c>
      <c r="D554" s="25" t="s">
        <v>622</v>
      </c>
    </row>
    <row r="555" spans="1:4" x14ac:dyDescent="0.3">
      <c r="A555" s="25">
        <v>35</v>
      </c>
      <c r="B555" s="25">
        <v>72</v>
      </c>
      <c r="C555" s="25" t="s">
        <v>1212</v>
      </c>
      <c r="D555" s="25" t="s">
        <v>622</v>
      </c>
    </row>
    <row r="556" spans="1:4" x14ac:dyDescent="0.3">
      <c r="A556" s="25">
        <v>36</v>
      </c>
      <c r="B556" s="25">
        <v>73</v>
      </c>
      <c r="C556" s="25" t="s">
        <v>1213</v>
      </c>
      <c r="D556" s="25" t="s">
        <v>622</v>
      </c>
    </row>
    <row r="557" spans="1:4" x14ac:dyDescent="0.3">
      <c r="A557" s="27"/>
      <c r="B557" s="25">
        <v>74</v>
      </c>
      <c r="C557" s="25" t="s">
        <v>1214</v>
      </c>
      <c r="D557" s="25" t="s">
        <v>622</v>
      </c>
    </row>
    <row r="558" spans="1:4" x14ac:dyDescent="0.3">
      <c r="A558" s="27"/>
      <c r="B558" s="25">
        <v>75</v>
      </c>
      <c r="C558" s="25" t="s">
        <v>1215</v>
      </c>
      <c r="D558" s="25" t="s">
        <v>622</v>
      </c>
    </row>
    <row r="559" spans="1:4" x14ac:dyDescent="0.3">
      <c r="A559" s="27"/>
      <c r="B559" s="25">
        <v>76</v>
      </c>
      <c r="C559" s="25" t="s">
        <v>1216</v>
      </c>
      <c r="D559" s="25" t="s">
        <v>622</v>
      </c>
    </row>
    <row r="560" spans="1:4" x14ac:dyDescent="0.3">
      <c r="A560" s="27"/>
      <c r="B560" s="25">
        <v>77</v>
      </c>
      <c r="C560" s="25" t="s">
        <v>1217</v>
      </c>
      <c r="D560" s="25" t="s">
        <v>622</v>
      </c>
    </row>
    <row r="561" spans="1:4" x14ac:dyDescent="0.3">
      <c r="A561" s="25">
        <v>37</v>
      </c>
      <c r="B561" s="25">
        <v>78</v>
      </c>
      <c r="C561" s="25" t="s">
        <v>1218</v>
      </c>
      <c r="D561" s="25" t="s">
        <v>622</v>
      </c>
    </row>
    <row r="562" spans="1:4" x14ac:dyDescent="0.3">
      <c r="A562" s="25">
        <v>38</v>
      </c>
      <c r="B562" s="25">
        <v>79</v>
      </c>
      <c r="C562" s="25" t="s">
        <v>1219</v>
      </c>
      <c r="D562" s="25" t="s">
        <v>622</v>
      </c>
    </row>
    <row r="563" spans="1:4" x14ac:dyDescent="0.3">
      <c r="A563" s="25">
        <v>39</v>
      </c>
      <c r="B563" s="25">
        <v>80</v>
      </c>
      <c r="C563" s="25" t="s">
        <v>1220</v>
      </c>
      <c r="D563" s="25" t="s">
        <v>622</v>
      </c>
    </row>
    <row r="564" spans="1:4" x14ac:dyDescent="0.3">
      <c r="A564" s="25">
        <v>40</v>
      </c>
      <c r="B564" s="25">
        <v>81</v>
      </c>
      <c r="C564" s="25" t="s">
        <v>1221</v>
      </c>
      <c r="D564" s="25" t="s">
        <v>622</v>
      </c>
    </row>
    <row r="565" spans="1:4" x14ac:dyDescent="0.3">
      <c r="A565" s="27"/>
      <c r="B565" s="25">
        <v>82</v>
      </c>
      <c r="C565" s="25" t="s">
        <v>1222</v>
      </c>
      <c r="D565" s="25" t="s">
        <v>622</v>
      </c>
    </row>
    <row r="566" spans="1:4" x14ac:dyDescent="0.3">
      <c r="A566" s="27"/>
      <c r="B566" s="25">
        <v>83</v>
      </c>
      <c r="C566" s="25" t="s">
        <v>1223</v>
      </c>
      <c r="D566" s="25" t="s">
        <v>622</v>
      </c>
    </row>
    <row r="567" spans="1:4" x14ac:dyDescent="0.3">
      <c r="A567" s="27"/>
      <c r="B567" s="25">
        <v>84</v>
      </c>
      <c r="C567" s="25" t="s">
        <v>1224</v>
      </c>
      <c r="D567" s="25" t="s">
        <v>622</v>
      </c>
    </row>
    <row r="568" spans="1:4" x14ac:dyDescent="0.3">
      <c r="A568" s="27"/>
      <c r="B568" s="25">
        <v>85</v>
      </c>
      <c r="C568" s="25" t="s">
        <v>1225</v>
      </c>
      <c r="D568" s="25" t="s">
        <v>622</v>
      </c>
    </row>
    <row r="569" spans="1:4" x14ac:dyDescent="0.3">
      <c r="A569" s="27"/>
      <c r="B569" s="25">
        <v>88</v>
      </c>
      <c r="C569" s="25" t="s">
        <v>1226</v>
      </c>
      <c r="D569" s="25" t="s">
        <v>622</v>
      </c>
    </row>
    <row r="570" spans="1:4" x14ac:dyDescent="0.3">
      <c r="A570" s="25">
        <v>41</v>
      </c>
      <c r="B570" s="25">
        <v>89</v>
      </c>
      <c r="C570" s="25" t="s">
        <v>1227</v>
      </c>
      <c r="D570" s="25" t="s">
        <v>622</v>
      </c>
    </row>
    <row r="571" spans="1:4" x14ac:dyDescent="0.3">
      <c r="A571" s="25">
        <v>42</v>
      </c>
      <c r="B571" s="25">
        <v>90</v>
      </c>
      <c r="C571" s="25" t="s">
        <v>1228</v>
      </c>
      <c r="D571" s="25" t="s">
        <v>622</v>
      </c>
    </row>
    <row r="572" spans="1:4" x14ac:dyDescent="0.3">
      <c r="A572" s="25">
        <v>43</v>
      </c>
      <c r="B572" s="25">
        <v>91</v>
      </c>
      <c r="C572" s="25" t="s">
        <v>1229</v>
      </c>
      <c r="D572" s="25" t="s">
        <v>622</v>
      </c>
    </row>
    <row r="573" spans="1:4" x14ac:dyDescent="0.3">
      <c r="A573" s="25">
        <v>44</v>
      </c>
      <c r="B573" s="25">
        <v>92</v>
      </c>
      <c r="C573" s="25" t="s">
        <v>1230</v>
      </c>
      <c r="D573" s="25" t="s">
        <v>622</v>
      </c>
    </row>
    <row r="574" spans="1:4" x14ac:dyDescent="0.3">
      <c r="A574" s="27"/>
      <c r="B574" s="25">
        <v>93</v>
      </c>
      <c r="C574" s="25" t="s">
        <v>1231</v>
      </c>
      <c r="D574" s="25" t="s">
        <v>622</v>
      </c>
    </row>
    <row r="575" spans="1:4" x14ac:dyDescent="0.3">
      <c r="A575" s="27"/>
      <c r="B575" s="25">
        <v>94</v>
      </c>
      <c r="C575" s="25" t="s">
        <v>1232</v>
      </c>
      <c r="D575" s="25" t="s">
        <v>622</v>
      </c>
    </row>
    <row r="576" spans="1:4" x14ac:dyDescent="0.3">
      <c r="A576" s="25">
        <v>45</v>
      </c>
      <c r="B576" s="25">
        <v>95</v>
      </c>
      <c r="C576" s="25" t="s">
        <v>1233</v>
      </c>
      <c r="D576" s="25" t="s">
        <v>622</v>
      </c>
    </row>
    <row r="577" spans="1:4" x14ac:dyDescent="0.3">
      <c r="A577" s="25">
        <v>46</v>
      </c>
      <c r="B577" s="25">
        <v>96</v>
      </c>
      <c r="C577" s="25" t="s">
        <v>1234</v>
      </c>
      <c r="D577" s="25" t="s">
        <v>622</v>
      </c>
    </row>
    <row r="578" spans="1:4" x14ac:dyDescent="0.3">
      <c r="A578" s="25">
        <v>47</v>
      </c>
      <c r="B578" s="25">
        <v>97</v>
      </c>
      <c r="C578" s="25" t="s">
        <v>1235</v>
      </c>
      <c r="D578" s="25" t="s">
        <v>622</v>
      </c>
    </row>
    <row r="579" spans="1:4" x14ac:dyDescent="0.3">
      <c r="A579" s="25">
        <v>48</v>
      </c>
      <c r="B579" s="25">
        <v>98</v>
      </c>
      <c r="C579" s="25" t="s">
        <v>1236</v>
      </c>
      <c r="D579" s="25" t="s">
        <v>622</v>
      </c>
    </row>
    <row r="580" spans="1:4" x14ac:dyDescent="0.3">
      <c r="A580" s="27"/>
      <c r="B580" s="25">
        <v>99</v>
      </c>
      <c r="C580" s="25" t="s">
        <v>1237</v>
      </c>
      <c r="D580" s="25" t="s">
        <v>622</v>
      </c>
    </row>
    <row r="581" spans="1:4" x14ac:dyDescent="0.3">
      <c r="A581" s="27"/>
      <c r="B581" s="25">
        <v>100</v>
      </c>
      <c r="C581" s="25" t="s">
        <v>1238</v>
      </c>
      <c r="D581" s="25" t="s">
        <v>622</v>
      </c>
    </row>
    <row r="585" spans="1:4" x14ac:dyDescent="0.3">
      <c r="A585" s="86" t="s">
        <v>1297</v>
      </c>
      <c r="B585" s="86" t="s">
        <v>1296</v>
      </c>
      <c r="C585" s="86" t="s">
        <v>666</v>
      </c>
      <c r="D585" s="86"/>
    </row>
    <row r="586" spans="1:4" x14ac:dyDescent="0.3">
      <c r="A586" s="27"/>
      <c r="B586" s="25">
        <v>1</v>
      </c>
      <c r="C586" s="25" t="s">
        <v>1066</v>
      </c>
      <c r="D586" s="25" t="s">
        <v>650</v>
      </c>
    </row>
    <row r="587" spans="1:4" x14ac:dyDescent="0.3">
      <c r="A587" s="25">
        <v>2</v>
      </c>
      <c r="B587" s="25">
        <v>4</v>
      </c>
      <c r="C587" s="25" t="s">
        <v>1000</v>
      </c>
      <c r="D587" s="25" t="s">
        <v>650</v>
      </c>
    </row>
    <row r="588" spans="1:4" x14ac:dyDescent="0.3">
      <c r="A588" s="27"/>
      <c r="B588" s="25">
        <v>5</v>
      </c>
      <c r="C588" s="25" t="s">
        <v>1057</v>
      </c>
      <c r="D588" s="25" t="s">
        <v>650</v>
      </c>
    </row>
    <row r="589" spans="1:4" x14ac:dyDescent="0.3">
      <c r="A589" s="27"/>
      <c r="B589" s="25">
        <v>25</v>
      </c>
      <c r="C589" s="25" t="s">
        <v>174</v>
      </c>
      <c r="D589" s="25" t="s">
        <v>650</v>
      </c>
    </row>
    <row r="590" spans="1:4" x14ac:dyDescent="0.3">
      <c r="A590" s="25">
        <v>24</v>
      </c>
      <c r="B590" s="25">
        <v>48</v>
      </c>
      <c r="C590" s="25" t="s">
        <v>314</v>
      </c>
      <c r="D590" s="25" t="s">
        <v>650</v>
      </c>
    </row>
    <row r="591" spans="1:4" x14ac:dyDescent="0.3">
      <c r="A591" s="27"/>
      <c r="B591" s="25">
        <v>51</v>
      </c>
      <c r="C591" s="25" t="s">
        <v>979</v>
      </c>
      <c r="D591" s="25" t="s">
        <v>650</v>
      </c>
    </row>
    <row r="592" spans="1:4" x14ac:dyDescent="0.3">
      <c r="A592" s="25">
        <v>26</v>
      </c>
      <c r="B592" s="25">
        <v>54</v>
      </c>
      <c r="C592" s="25" t="s">
        <v>842</v>
      </c>
      <c r="D592" s="25" t="s">
        <v>650</v>
      </c>
    </row>
    <row r="593" spans="1:4" x14ac:dyDescent="0.3">
      <c r="A593" s="25">
        <v>27</v>
      </c>
      <c r="B593" s="25">
        <v>55</v>
      </c>
      <c r="C593" s="25" t="s">
        <v>970</v>
      </c>
      <c r="D593" s="25" t="s">
        <v>650</v>
      </c>
    </row>
    <row r="594" spans="1:4" x14ac:dyDescent="0.3">
      <c r="A594" s="27"/>
      <c r="B594" s="25">
        <v>58</v>
      </c>
      <c r="C594" s="25" t="s">
        <v>726</v>
      </c>
      <c r="D594" s="25" t="s">
        <v>650</v>
      </c>
    </row>
    <row r="595" spans="1:4" x14ac:dyDescent="0.3">
      <c r="A595" s="27"/>
      <c r="B595" s="25">
        <v>63</v>
      </c>
      <c r="C595" s="25" t="s">
        <v>930</v>
      </c>
      <c r="D595" s="25" t="s">
        <v>650</v>
      </c>
    </row>
    <row r="596" spans="1:4" x14ac:dyDescent="0.3">
      <c r="A596" s="27"/>
      <c r="B596" s="25">
        <v>64</v>
      </c>
      <c r="C596" s="25" t="s">
        <v>924</v>
      </c>
      <c r="D596" s="25" t="s">
        <v>650</v>
      </c>
    </row>
    <row r="597" spans="1:4" x14ac:dyDescent="0.3">
      <c r="A597" s="27"/>
      <c r="B597" s="25">
        <v>65</v>
      </c>
      <c r="C597" s="25" t="s">
        <v>921</v>
      </c>
      <c r="D597" s="25" t="s">
        <v>650</v>
      </c>
    </row>
    <row r="598" spans="1:4" x14ac:dyDescent="0.3">
      <c r="A598" s="25">
        <v>32</v>
      </c>
      <c r="B598" s="25">
        <v>67</v>
      </c>
      <c r="C598" s="25" t="s">
        <v>911</v>
      </c>
      <c r="D598" s="25" t="s">
        <v>650</v>
      </c>
    </row>
    <row r="599" spans="1:4" x14ac:dyDescent="0.3">
      <c r="A599" s="27"/>
      <c r="B599" s="25">
        <v>68</v>
      </c>
      <c r="C599" s="25" t="s">
        <v>904</v>
      </c>
      <c r="D599" s="25" t="s">
        <v>650</v>
      </c>
    </row>
    <row r="600" spans="1:4" x14ac:dyDescent="0.3">
      <c r="A600" s="27"/>
      <c r="B600" s="25">
        <v>69</v>
      </c>
      <c r="C600" s="25" t="s">
        <v>1019</v>
      </c>
      <c r="D600" s="25" t="s">
        <v>650</v>
      </c>
    </row>
    <row r="601" spans="1:4" x14ac:dyDescent="0.3">
      <c r="A601" s="25">
        <v>33</v>
      </c>
      <c r="B601" s="25">
        <v>70</v>
      </c>
      <c r="C601" s="25" t="s">
        <v>1013</v>
      </c>
      <c r="D601" s="25" t="s">
        <v>650</v>
      </c>
    </row>
    <row r="602" spans="1:4" x14ac:dyDescent="0.3">
      <c r="A602" s="25">
        <v>34</v>
      </c>
      <c r="B602" s="25">
        <v>71</v>
      </c>
      <c r="C602" s="25" t="s">
        <v>1006</v>
      </c>
      <c r="D602" s="25" t="s">
        <v>650</v>
      </c>
    </row>
    <row r="603" spans="1:4" x14ac:dyDescent="0.3">
      <c r="A603" s="25">
        <v>36</v>
      </c>
      <c r="B603" s="25">
        <v>73</v>
      </c>
      <c r="C603" s="25" t="s">
        <v>679</v>
      </c>
      <c r="D603" s="25" t="s">
        <v>650</v>
      </c>
    </row>
    <row r="604" spans="1:4" x14ac:dyDescent="0.3">
      <c r="A604" s="27"/>
      <c r="B604" s="25">
        <v>74</v>
      </c>
      <c r="C604" s="25" t="s">
        <v>896</v>
      </c>
      <c r="D604" s="25" t="s">
        <v>650</v>
      </c>
    </row>
    <row r="605" spans="1:4" x14ac:dyDescent="0.3">
      <c r="A605" s="27"/>
      <c r="B605" s="25">
        <v>76</v>
      </c>
      <c r="C605" s="25" t="s">
        <v>887</v>
      </c>
      <c r="D605" s="25" t="s">
        <v>650</v>
      </c>
    </row>
    <row r="606" spans="1:4" x14ac:dyDescent="0.3">
      <c r="A606" s="27"/>
      <c r="B606" s="25">
        <v>77</v>
      </c>
      <c r="C606" s="25" t="s">
        <v>880</v>
      </c>
      <c r="D606" s="25" t="s">
        <v>650</v>
      </c>
    </row>
    <row r="607" spans="1:4" x14ac:dyDescent="0.3">
      <c r="A607" s="25">
        <v>37</v>
      </c>
      <c r="B607" s="25">
        <v>78</v>
      </c>
      <c r="C607" s="25" t="s">
        <v>665</v>
      </c>
      <c r="D607" s="25" t="s">
        <v>650</v>
      </c>
    </row>
    <row r="608" spans="1:4" x14ac:dyDescent="0.3">
      <c r="A608" s="25">
        <v>39</v>
      </c>
      <c r="B608" s="25">
        <v>80</v>
      </c>
      <c r="C608" s="25" t="s">
        <v>960</v>
      </c>
      <c r="D608" s="25" t="s">
        <v>650</v>
      </c>
    </row>
    <row r="609" spans="1:4" x14ac:dyDescent="0.3">
      <c r="A609" s="25">
        <v>40</v>
      </c>
      <c r="B609" s="25">
        <v>81</v>
      </c>
      <c r="C609" s="25" t="s">
        <v>954</v>
      </c>
      <c r="D609" s="25" t="s">
        <v>650</v>
      </c>
    </row>
    <row r="610" spans="1:4" x14ac:dyDescent="0.3">
      <c r="A610" s="27"/>
      <c r="B610" s="25">
        <v>82</v>
      </c>
      <c r="C610" s="25" t="s">
        <v>825</v>
      </c>
      <c r="D610" s="25" t="s">
        <v>650</v>
      </c>
    </row>
    <row r="611" spans="1:4" x14ac:dyDescent="0.3">
      <c r="A611" s="27"/>
      <c r="B611" s="25">
        <v>83</v>
      </c>
      <c r="C611" s="25" t="s">
        <v>817</v>
      </c>
      <c r="D611" s="25" t="s">
        <v>650</v>
      </c>
    </row>
    <row r="612" spans="1:4" x14ac:dyDescent="0.3">
      <c r="A612" s="27"/>
      <c r="B612" s="25">
        <v>84</v>
      </c>
      <c r="C612" s="25" t="s">
        <v>1051</v>
      </c>
      <c r="D612" s="25" t="s">
        <v>650</v>
      </c>
    </row>
    <row r="613" spans="1:4" x14ac:dyDescent="0.3">
      <c r="A613" s="27"/>
      <c r="B613" s="25">
        <v>85</v>
      </c>
      <c r="C613" s="25" t="s">
        <v>1046</v>
      </c>
      <c r="D613" s="25" t="s">
        <v>650</v>
      </c>
    </row>
    <row r="614" spans="1:4" x14ac:dyDescent="0.3">
      <c r="A614" s="25">
        <v>41</v>
      </c>
      <c r="B614" s="25">
        <v>89</v>
      </c>
      <c r="C614" s="25" t="s">
        <v>801</v>
      </c>
      <c r="D614" s="25" t="s">
        <v>650</v>
      </c>
    </row>
    <row r="615" spans="1:4" x14ac:dyDescent="0.3">
      <c r="A615" s="25">
        <v>44</v>
      </c>
      <c r="B615" s="25">
        <v>92</v>
      </c>
      <c r="C615" s="25" t="s">
        <v>778</v>
      </c>
      <c r="D615" s="25" t="s">
        <v>650</v>
      </c>
    </row>
    <row r="616" spans="1:4" x14ac:dyDescent="0.3">
      <c r="A616" s="27"/>
      <c r="B616" s="25">
        <v>94</v>
      </c>
      <c r="C616" s="25" t="s">
        <v>1042</v>
      </c>
      <c r="D616" s="25" t="s">
        <v>650</v>
      </c>
    </row>
    <row r="617" spans="1:4" x14ac:dyDescent="0.3">
      <c r="A617" s="27"/>
      <c r="B617" s="25">
        <v>99</v>
      </c>
      <c r="C617" s="25" t="s">
        <v>764</v>
      </c>
      <c r="D617" s="25" t="s">
        <v>650</v>
      </c>
    </row>
    <row r="618" spans="1:4" x14ac:dyDescent="0.3">
      <c r="A618" s="27"/>
      <c r="B618" s="25">
        <v>100</v>
      </c>
      <c r="C618" s="25" t="s">
        <v>754</v>
      </c>
      <c r="D618" s="25" t="s">
        <v>650</v>
      </c>
    </row>
    <row r="622" spans="1:4" x14ac:dyDescent="0.3">
      <c r="A622" s="86" t="s">
        <v>1297</v>
      </c>
      <c r="B622" s="86" t="s">
        <v>1296</v>
      </c>
      <c r="C622" s="86" t="s">
        <v>840</v>
      </c>
      <c r="D622" s="86"/>
    </row>
    <row r="623" spans="1:4" x14ac:dyDescent="0.3">
      <c r="A623" s="25">
        <v>25</v>
      </c>
      <c r="B623" s="25">
        <v>53</v>
      </c>
      <c r="C623" s="25" t="s">
        <v>356</v>
      </c>
      <c r="D623" s="25" t="s">
        <v>650</v>
      </c>
    </row>
    <row r="624" spans="1:4" x14ac:dyDescent="0.3">
      <c r="A624" s="25">
        <v>26</v>
      </c>
      <c r="B624" s="25">
        <v>54</v>
      </c>
      <c r="C624" s="25" t="s">
        <v>363</v>
      </c>
      <c r="D624" s="25" t="s">
        <v>633</v>
      </c>
    </row>
    <row r="628" spans="1:4" x14ac:dyDescent="0.3">
      <c r="A628" s="86" t="s">
        <v>1297</v>
      </c>
      <c r="B628" s="86" t="s">
        <v>1296</v>
      </c>
      <c r="C628" s="86" t="s">
        <v>635</v>
      </c>
      <c r="D628" s="86"/>
    </row>
    <row r="629" spans="1:4" x14ac:dyDescent="0.3">
      <c r="A629" s="27"/>
      <c r="B629" s="25">
        <v>51</v>
      </c>
      <c r="C629" s="25" t="s">
        <v>336</v>
      </c>
      <c r="D629" s="25" t="s">
        <v>633</v>
      </c>
    </row>
    <row r="630" spans="1:4" x14ac:dyDescent="0.3">
      <c r="A630" s="27"/>
      <c r="B630" s="25">
        <v>52</v>
      </c>
      <c r="C630" s="25" t="s">
        <v>345</v>
      </c>
      <c r="D630" s="25" t="s">
        <v>633</v>
      </c>
    </row>
    <row r="631" spans="1:4" x14ac:dyDescent="0.3">
      <c r="A631" s="27"/>
      <c r="B631" s="25">
        <v>66</v>
      </c>
      <c r="C631" s="25" t="s">
        <v>414</v>
      </c>
      <c r="D631" s="25" t="s">
        <v>633</v>
      </c>
    </row>
    <row r="632" spans="1:4" x14ac:dyDescent="0.3">
      <c r="A632" s="25">
        <v>32</v>
      </c>
      <c r="B632" s="25">
        <v>67</v>
      </c>
      <c r="C632" s="25" t="s">
        <v>419</v>
      </c>
      <c r="D632" s="25" t="s">
        <v>633</v>
      </c>
    </row>
    <row r="633" spans="1:4" x14ac:dyDescent="0.3">
      <c r="A633" s="27"/>
      <c r="B633" s="25">
        <v>68</v>
      </c>
      <c r="C633" s="25" t="s">
        <v>424</v>
      </c>
      <c r="D633" s="25" t="s">
        <v>633</v>
      </c>
    </row>
    <row r="634" spans="1:4" x14ac:dyDescent="0.3">
      <c r="A634" s="27"/>
      <c r="B634" s="25">
        <v>69</v>
      </c>
      <c r="C634" s="25" t="s">
        <v>430</v>
      </c>
      <c r="D634" s="25" t="s">
        <v>633</v>
      </c>
    </row>
    <row r="635" spans="1:4" x14ac:dyDescent="0.3">
      <c r="A635" s="25">
        <v>33</v>
      </c>
      <c r="B635" s="25">
        <v>70</v>
      </c>
      <c r="C635" s="25" t="s">
        <v>336</v>
      </c>
      <c r="D635" s="25" t="s">
        <v>633</v>
      </c>
    </row>
    <row r="636" spans="1:4" x14ac:dyDescent="0.3">
      <c r="A636" s="25">
        <v>34</v>
      </c>
      <c r="B636" s="25">
        <v>71</v>
      </c>
      <c r="C636" s="25" t="s">
        <v>345</v>
      </c>
      <c r="D636" s="25" t="s">
        <v>633</v>
      </c>
    </row>
    <row r="637" spans="1:4" x14ac:dyDescent="0.3">
      <c r="A637" s="25">
        <v>35</v>
      </c>
      <c r="B637" s="25">
        <v>72</v>
      </c>
      <c r="C637" s="25" t="s">
        <v>424</v>
      </c>
      <c r="D637" s="25" t="s">
        <v>633</v>
      </c>
    </row>
    <row r="638" spans="1:4" x14ac:dyDescent="0.3">
      <c r="A638" s="25">
        <v>36</v>
      </c>
      <c r="B638" s="25">
        <v>73</v>
      </c>
      <c r="C638" s="25" t="s">
        <v>419</v>
      </c>
      <c r="D638" s="25" t="s">
        <v>633</v>
      </c>
    </row>
    <row r="639" spans="1:4" x14ac:dyDescent="0.3">
      <c r="A639" s="27"/>
      <c r="B639" s="25">
        <v>74</v>
      </c>
      <c r="C639" s="25" t="s">
        <v>461</v>
      </c>
      <c r="D639" s="25" t="s">
        <v>633</v>
      </c>
    </row>
    <row r="640" spans="1:4" x14ac:dyDescent="0.3">
      <c r="A640" s="27"/>
      <c r="B640" s="25">
        <v>75</v>
      </c>
      <c r="C640" s="25" t="s">
        <v>468</v>
      </c>
      <c r="D640" s="25" t="s">
        <v>633</v>
      </c>
    </row>
    <row r="641" spans="1:4" x14ac:dyDescent="0.3">
      <c r="A641" s="27"/>
      <c r="B641" s="25">
        <v>76</v>
      </c>
      <c r="C641" s="25" t="s">
        <v>474</v>
      </c>
      <c r="D641" s="25" t="s">
        <v>633</v>
      </c>
    </row>
    <row r="642" spans="1:4" x14ac:dyDescent="0.3">
      <c r="A642" s="27"/>
      <c r="B642" s="25">
        <v>77</v>
      </c>
      <c r="C642" s="25" t="s">
        <v>480</v>
      </c>
      <c r="D642" s="25" t="s">
        <v>633</v>
      </c>
    </row>
    <row r="643" spans="1:4" x14ac:dyDescent="0.3">
      <c r="A643" s="25">
        <v>37</v>
      </c>
      <c r="B643" s="25">
        <v>78</v>
      </c>
      <c r="C643" s="25" t="s">
        <v>487</v>
      </c>
      <c r="D643" s="25" t="s">
        <v>633</v>
      </c>
    </row>
    <row r="644" spans="1:4" x14ac:dyDescent="0.3">
      <c r="A644" s="25">
        <v>38</v>
      </c>
      <c r="B644" s="25">
        <v>79</v>
      </c>
      <c r="C644" s="25" t="s">
        <v>494</v>
      </c>
      <c r="D644" s="25" t="s">
        <v>633</v>
      </c>
    </row>
    <row r="645" spans="1:4" x14ac:dyDescent="0.3">
      <c r="A645" s="25">
        <v>39</v>
      </c>
      <c r="B645" s="25">
        <v>80</v>
      </c>
      <c r="C645" s="25" t="s">
        <v>430</v>
      </c>
      <c r="D645" s="25" t="s">
        <v>633</v>
      </c>
    </row>
    <row r="646" spans="1:4" x14ac:dyDescent="0.3">
      <c r="A646" s="25">
        <v>40</v>
      </c>
      <c r="B646" s="25">
        <v>81</v>
      </c>
      <c r="C646" s="25" t="s">
        <v>414</v>
      </c>
      <c r="D646" s="25" t="s">
        <v>633</v>
      </c>
    </row>
    <row r="650" spans="1:4" x14ac:dyDescent="0.3">
      <c r="A650" s="86" t="s">
        <v>1297</v>
      </c>
      <c r="B650" s="86" t="s">
        <v>1296</v>
      </c>
      <c r="C650" s="86" t="s">
        <v>839</v>
      </c>
      <c r="D650" s="86"/>
    </row>
    <row r="651" spans="1:4" x14ac:dyDescent="0.3">
      <c r="A651" s="25">
        <v>21</v>
      </c>
      <c r="B651" s="25">
        <v>45</v>
      </c>
      <c r="C651" s="25" t="s">
        <v>286</v>
      </c>
      <c r="D651" s="25" t="s">
        <v>633</v>
      </c>
    </row>
    <row r="652" spans="1:4" x14ac:dyDescent="0.3">
      <c r="A652" s="25">
        <v>22</v>
      </c>
      <c r="B652" s="25">
        <v>46</v>
      </c>
      <c r="C652" s="25" t="s">
        <v>295</v>
      </c>
      <c r="D652" s="25" t="s">
        <v>633</v>
      </c>
    </row>
    <row r="653" spans="1:4" x14ac:dyDescent="0.3">
      <c r="A653" s="25">
        <v>23</v>
      </c>
      <c r="B653" s="25">
        <v>47</v>
      </c>
      <c r="C653" s="25" t="s">
        <v>305</v>
      </c>
      <c r="D653" s="25" t="s">
        <v>633</v>
      </c>
    </row>
    <row r="654" spans="1:4" x14ac:dyDescent="0.3">
      <c r="A654" s="25">
        <v>24</v>
      </c>
      <c r="B654" s="25">
        <v>48</v>
      </c>
      <c r="C654" s="25" t="s">
        <v>313</v>
      </c>
      <c r="D654" s="25" t="s">
        <v>633</v>
      </c>
    </row>
    <row r="655" spans="1:4" x14ac:dyDescent="0.3">
      <c r="A655" s="27"/>
      <c r="B655" s="25">
        <v>49</v>
      </c>
      <c r="C655" s="25" t="s">
        <v>321</v>
      </c>
      <c r="D655" s="25" t="s">
        <v>633</v>
      </c>
    </row>
    <row r="656" spans="1:4" x14ac:dyDescent="0.3">
      <c r="A656" s="27"/>
      <c r="B656" s="25">
        <v>50</v>
      </c>
      <c r="C656" s="25" t="s">
        <v>328</v>
      </c>
      <c r="D656" s="25" t="s">
        <v>633</v>
      </c>
    </row>
    <row r="657" spans="1:4" x14ac:dyDescent="0.3">
      <c r="A657" s="27"/>
      <c r="B657" s="25">
        <v>51</v>
      </c>
      <c r="C657" s="25" t="s">
        <v>335</v>
      </c>
      <c r="D657" s="25" t="s">
        <v>633</v>
      </c>
    </row>
    <row r="658" spans="1:4" x14ac:dyDescent="0.3">
      <c r="A658" s="27"/>
      <c r="B658" s="25">
        <v>52</v>
      </c>
      <c r="C658" s="25" t="s">
        <v>343</v>
      </c>
      <c r="D658" s="25" t="s">
        <v>633</v>
      </c>
    </row>
    <row r="659" spans="1:4" x14ac:dyDescent="0.3">
      <c r="A659" s="25">
        <v>25</v>
      </c>
      <c r="B659" s="25">
        <v>53</v>
      </c>
      <c r="C659" s="25" t="s">
        <v>354</v>
      </c>
      <c r="D659" s="25" t="s">
        <v>633</v>
      </c>
    </row>
    <row r="660" spans="1:4" x14ac:dyDescent="0.3">
      <c r="A660" s="25">
        <v>26</v>
      </c>
      <c r="B660" s="25">
        <v>54</v>
      </c>
      <c r="C660" s="25" t="s">
        <v>361</v>
      </c>
      <c r="D660" s="25" t="s">
        <v>633</v>
      </c>
    </row>
    <row r="661" spans="1:4" x14ac:dyDescent="0.3">
      <c r="A661" s="25">
        <v>27</v>
      </c>
      <c r="B661" s="25">
        <v>55</v>
      </c>
      <c r="C661" s="25" t="s">
        <v>370</v>
      </c>
      <c r="D661" s="25" t="s">
        <v>633</v>
      </c>
    </row>
    <row r="662" spans="1:4" x14ac:dyDescent="0.3">
      <c r="A662" s="25">
        <v>28</v>
      </c>
      <c r="B662" s="25">
        <v>56</v>
      </c>
      <c r="C662" s="25" t="s">
        <v>376</v>
      </c>
      <c r="D662" s="25" t="s">
        <v>633</v>
      </c>
    </row>
    <row r="666" spans="1:4" x14ac:dyDescent="0.3">
      <c r="A666" s="86" t="s">
        <v>1297</v>
      </c>
      <c r="B666" s="86" t="s">
        <v>1296</v>
      </c>
      <c r="C666" s="86" t="s">
        <v>659</v>
      </c>
      <c r="D666" s="86"/>
    </row>
    <row r="667" spans="1:4" x14ac:dyDescent="0.3">
      <c r="A667" s="25">
        <v>16</v>
      </c>
      <c r="B667" s="25">
        <v>29</v>
      </c>
      <c r="C667" s="25" t="s">
        <v>205</v>
      </c>
      <c r="D667" s="25" t="s">
        <v>622</v>
      </c>
    </row>
    <row r="668" spans="1:4" x14ac:dyDescent="0.3">
      <c r="A668" s="25">
        <v>17</v>
      </c>
      <c r="B668" s="25">
        <v>30</v>
      </c>
      <c r="C668" s="25" t="s">
        <v>217</v>
      </c>
      <c r="D668" s="25" t="s">
        <v>650</v>
      </c>
    </row>
    <row r="669" spans="1:4" x14ac:dyDescent="0.3">
      <c r="A669" s="27"/>
      <c r="B669" s="25">
        <v>51</v>
      </c>
      <c r="C669" s="25" t="s">
        <v>333</v>
      </c>
      <c r="D669" s="25" t="s">
        <v>633</v>
      </c>
    </row>
    <row r="670" spans="1:4" x14ac:dyDescent="0.3">
      <c r="A670" s="27"/>
      <c r="B670" s="25">
        <v>52</v>
      </c>
      <c r="C670" s="25" t="s">
        <v>348</v>
      </c>
      <c r="D670" s="25" t="s">
        <v>650</v>
      </c>
    </row>
    <row r="671" spans="1:4" x14ac:dyDescent="0.3">
      <c r="A671" s="25">
        <v>25</v>
      </c>
      <c r="B671" s="25">
        <v>53</v>
      </c>
      <c r="C671" s="25" t="s">
        <v>205</v>
      </c>
      <c r="D671" s="25" t="s">
        <v>622</v>
      </c>
    </row>
    <row r="672" spans="1:4" x14ac:dyDescent="0.3">
      <c r="A672" s="25">
        <v>26</v>
      </c>
      <c r="B672" s="25">
        <v>54</v>
      </c>
      <c r="C672" s="25" t="s">
        <v>217</v>
      </c>
      <c r="D672" s="25" t="s">
        <v>650</v>
      </c>
    </row>
    <row r="673" spans="1:4" x14ac:dyDescent="0.3">
      <c r="A673" s="25">
        <v>27</v>
      </c>
      <c r="B673" s="25">
        <v>55</v>
      </c>
      <c r="C673" s="25" t="s">
        <v>368</v>
      </c>
      <c r="D673" s="25" t="s">
        <v>633</v>
      </c>
    </row>
    <row r="674" spans="1:4" x14ac:dyDescent="0.3">
      <c r="A674" s="25">
        <v>28</v>
      </c>
      <c r="B674" s="25">
        <v>56</v>
      </c>
      <c r="C674" s="25" t="s">
        <v>378</v>
      </c>
      <c r="D674" s="25" t="s">
        <v>650</v>
      </c>
    </row>
    <row r="675" spans="1:4" x14ac:dyDescent="0.3">
      <c r="A675" s="25">
        <v>29</v>
      </c>
      <c r="B675" s="25">
        <v>57</v>
      </c>
      <c r="C675" s="25" t="s">
        <v>383</v>
      </c>
      <c r="D675" s="25" t="s">
        <v>650</v>
      </c>
    </row>
    <row r="676" spans="1:4" x14ac:dyDescent="0.3">
      <c r="A676" s="27"/>
      <c r="B676" s="25">
        <v>58</v>
      </c>
      <c r="C676" s="25" t="s">
        <v>390</v>
      </c>
      <c r="D676" s="25" t="s">
        <v>650</v>
      </c>
    </row>
    <row r="677" spans="1:4" x14ac:dyDescent="0.3">
      <c r="A677" s="25">
        <v>32</v>
      </c>
      <c r="B677" s="25">
        <v>67</v>
      </c>
      <c r="C677" s="25" t="s">
        <v>390</v>
      </c>
      <c r="D677" s="25" t="s">
        <v>650</v>
      </c>
    </row>
    <row r="678" spans="1:4" x14ac:dyDescent="0.3">
      <c r="A678" s="27"/>
      <c r="B678" s="25">
        <v>68</v>
      </c>
      <c r="C678" s="25" t="s">
        <v>383</v>
      </c>
      <c r="D678" s="25" t="s">
        <v>650</v>
      </c>
    </row>
    <row r="679" spans="1:4" x14ac:dyDescent="0.3">
      <c r="A679" s="25">
        <v>35</v>
      </c>
      <c r="B679" s="25">
        <v>72</v>
      </c>
      <c r="C679" s="25" t="s">
        <v>205</v>
      </c>
      <c r="D679" s="25" t="s">
        <v>622</v>
      </c>
    </row>
    <row r="680" spans="1:4" x14ac:dyDescent="0.3">
      <c r="A680" s="25">
        <v>36</v>
      </c>
      <c r="B680" s="25">
        <v>73</v>
      </c>
      <c r="C680" s="25" t="s">
        <v>217</v>
      </c>
      <c r="D680" s="25" t="s">
        <v>650</v>
      </c>
    </row>
    <row r="681" spans="1:4" x14ac:dyDescent="0.3">
      <c r="A681" s="27"/>
      <c r="B681" s="25">
        <v>74</v>
      </c>
      <c r="C681" s="25" t="s">
        <v>348</v>
      </c>
      <c r="D681" s="25" t="s">
        <v>650</v>
      </c>
    </row>
    <row r="682" spans="1:4" x14ac:dyDescent="0.3">
      <c r="A682" s="27"/>
      <c r="B682" s="25">
        <v>75</v>
      </c>
      <c r="C682" s="25" t="s">
        <v>333</v>
      </c>
      <c r="D682" s="25" t="s">
        <v>633</v>
      </c>
    </row>
    <row r="683" spans="1:4" x14ac:dyDescent="0.3">
      <c r="A683" s="25">
        <v>37</v>
      </c>
      <c r="B683" s="25">
        <v>78</v>
      </c>
      <c r="C683" s="25" t="s">
        <v>368</v>
      </c>
      <c r="D683" s="25" t="s">
        <v>633</v>
      </c>
    </row>
    <row r="684" spans="1:4" x14ac:dyDescent="0.3">
      <c r="A684" s="25">
        <v>38</v>
      </c>
      <c r="B684" s="25">
        <v>79</v>
      </c>
      <c r="C684" s="25" t="s">
        <v>378</v>
      </c>
      <c r="D684" s="25" t="s">
        <v>650</v>
      </c>
    </row>
    <row r="688" spans="1:4" x14ac:dyDescent="0.3">
      <c r="A688" s="86" t="s">
        <v>1297</v>
      </c>
      <c r="B688" s="86" t="s">
        <v>1296</v>
      </c>
      <c r="C688" s="86" t="s">
        <v>739</v>
      </c>
      <c r="D688" s="86"/>
    </row>
    <row r="689" spans="1:4" x14ac:dyDescent="0.3">
      <c r="A689" s="27"/>
      <c r="B689" s="25">
        <v>1</v>
      </c>
      <c r="C689" s="25" t="s">
        <v>29</v>
      </c>
      <c r="D689" s="25" t="s">
        <v>633</v>
      </c>
    </row>
    <row r="690" spans="1:4" x14ac:dyDescent="0.3">
      <c r="A690" s="27"/>
      <c r="B690" s="25">
        <v>2</v>
      </c>
      <c r="C690" s="25" t="s">
        <v>48</v>
      </c>
      <c r="D690" s="25" t="s">
        <v>650</v>
      </c>
    </row>
    <row r="691" spans="1:4" x14ac:dyDescent="0.3">
      <c r="A691" s="27"/>
      <c r="B691" s="25">
        <v>24</v>
      </c>
      <c r="C691" s="25" t="s">
        <v>165</v>
      </c>
      <c r="D691" s="25" t="s">
        <v>622</v>
      </c>
    </row>
    <row r="692" spans="1:4" x14ac:dyDescent="0.3">
      <c r="A692" s="27"/>
      <c r="B692" s="25">
        <v>25</v>
      </c>
      <c r="C692" s="25" t="s">
        <v>176</v>
      </c>
      <c r="D692" s="25" t="s">
        <v>650</v>
      </c>
    </row>
    <row r="693" spans="1:4" x14ac:dyDescent="0.3">
      <c r="A693" s="25">
        <v>27</v>
      </c>
      <c r="B693" s="25">
        <v>55</v>
      </c>
      <c r="C693" s="25" t="s">
        <v>165</v>
      </c>
      <c r="D693" s="25" t="s">
        <v>622</v>
      </c>
    </row>
    <row r="694" spans="1:4" x14ac:dyDescent="0.3">
      <c r="A694" s="25">
        <v>28</v>
      </c>
      <c r="B694" s="25">
        <v>56</v>
      </c>
      <c r="C694" s="25" t="s">
        <v>176</v>
      </c>
      <c r="D694" s="25" t="s">
        <v>650</v>
      </c>
    </row>
    <row r="695" spans="1:4" x14ac:dyDescent="0.3">
      <c r="A695" s="25">
        <v>29</v>
      </c>
      <c r="B695" s="25">
        <v>57</v>
      </c>
      <c r="C695" s="25" t="s">
        <v>29</v>
      </c>
      <c r="D695" s="25" t="s">
        <v>633</v>
      </c>
    </row>
    <row r="696" spans="1:4" x14ac:dyDescent="0.3">
      <c r="A696" s="27"/>
      <c r="B696" s="25">
        <v>58</v>
      </c>
      <c r="C696" s="25" t="s">
        <v>48</v>
      </c>
      <c r="D696" s="25" t="s">
        <v>650</v>
      </c>
    </row>
    <row r="697" spans="1:4" x14ac:dyDescent="0.3">
      <c r="A697" s="27"/>
      <c r="B697" s="25">
        <v>76</v>
      </c>
      <c r="C697" s="25" t="s">
        <v>476</v>
      </c>
      <c r="D697" s="25" t="s">
        <v>650</v>
      </c>
    </row>
    <row r="698" spans="1:4" x14ac:dyDescent="0.3">
      <c r="A698" s="27"/>
      <c r="B698" s="25">
        <v>77</v>
      </c>
      <c r="C698" s="25" t="s">
        <v>483</v>
      </c>
      <c r="D698" s="25" t="s">
        <v>650</v>
      </c>
    </row>
    <row r="699" spans="1:4" x14ac:dyDescent="0.3">
      <c r="A699" s="25">
        <v>39</v>
      </c>
      <c r="B699" s="25">
        <v>80</v>
      </c>
      <c r="C699" s="25" t="s">
        <v>165</v>
      </c>
      <c r="D699" s="25" t="s">
        <v>622</v>
      </c>
    </row>
    <row r="700" spans="1:4" x14ac:dyDescent="0.3">
      <c r="A700" s="25">
        <v>40</v>
      </c>
      <c r="B700" s="25">
        <v>81</v>
      </c>
      <c r="C700" s="25" t="s">
        <v>176</v>
      </c>
      <c r="D700" s="25" t="s">
        <v>650</v>
      </c>
    </row>
    <row r="701" spans="1:4" x14ac:dyDescent="0.3">
      <c r="A701" s="27"/>
      <c r="B701" s="25">
        <v>82</v>
      </c>
      <c r="C701" s="25" t="s">
        <v>514</v>
      </c>
      <c r="D701" s="25" t="s">
        <v>650</v>
      </c>
    </row>
    <row r="702" spans="1:4" x14ac:dyDescent="0.3">
      <c r="A702" s="27"/>
      <c r="B702" s="25">
        <v>83</v>
      </c>
      <c r="C702" s="25" t="s">
        <v>519</v>
      </c>
      <c r="D702" s="25" t="s">
        <v>633</v>
      </c>
    </row>
    <row r="703" spans="1:4" x14ac:dyDescent="0.3">
      <c r="A703" s="27"/>
      <c r="B703" s="25">
        <v>84</v>
      </c>
      <c r="C703" s="25" t="s">
        <v>29</v>
      </c>
      <c r="D703" s="25" t="s">
        <v>633</v>
      </c>
    </row>
    <row r="704" spans="1:4" x14ac:dyDescent="0.3">
      <c r="A704" s="27"/>
      <c r="B704" s="25">
        <v>85</v>
      </c>
      <c r="C704" s="25" t="s">
        <v>48</v>
      </c>
      <c r="D704" s="25" t="s">
        <v>650</v>
      </c>
    </row>
    <row r="708" spans="1:4" x14ac:dyDescent="0.3">
      <c r="A708" s="86" t="s">
        <v>1297</v>
      </c>
      <c r="B708" s="86" t="s">
        <v>1296</v>
      </c>
      <c r="C708" s="86" t="s">
        <v>760</v>
      </c>
      <c r="D708" s="86"/>
    </row>
    <row r="709" spans="1:4" x14ac:dyDescent="0.3">
      <c r="A709" s="27"/>
      <c r="B709" s="25">
        <v>18</v>
      </c>
      <c r="C709" s="25" t="s">
        <v>119</v>
      </c>
      <c r="D709" s="25" t="s">
        <v>633</v>
      </c>
    </row>
    <row r="710" spans="1:4" x14ac:dyDescent="0.3">
      <c r="A710" s="27"/>
      <c r="B710" s="25">
        <v>19</v>
      </c>
      <c r="C710" s="25" t="s">
        <v>126</v>
      </c>
      <c r="D710" s="25" t="s">
        <v>622</v>
      </c>
    </row>
    <row r="711" spans="1:4" x14ac:dyDescent="0.3">
      <c r="A711" s="27"/>
      <c r="B711" s="25">
        <v>20</v>
      </c>
      <c r="C711" s="25" t="s">
        <v>137</v>
      </c>
      <c r="D711" s="25" t="s">
        <v>650</v>
      </c>
    </row>
    <row r="712" spans="1:4" x14ac:dyDescent="0.3">
      <c r="A712" s="27"/>
      <c r="B712" s="25">
        <v>21</v>
      </c>
      <c r="C712" s="25" t="s">
        <v>119</v>
      </c>
      <c r="D712" s="25" t="s">
        <v>633</v>
      </c>
    </row>
    <row r="713" spans="1:4" x14ac:dyDescent="0.3">
      <c r="A713" s="25">
        <v>11</v>
      </c>
      <c r="B713" s="25">
        <v>22</v>
      </c>
      <c r="C713" s="25" t="s">
        <v>153</v>
      </c>
      <c r="D713" s="25" t="s">
        <v>650</v>
      </c>
    </row>
    <row r="714" spans="1:4" x14ac:dyDescent="0.3">
      <c r="A714" s="25">
        <v>12</v>
      </c>
      <c r="B714" s="25">
        <v>23</v>
      </c>
      <c r="C714" s="25" t="s">
        <v>153</v>
      </c>
      <c r="D714" s="25" t="s">
        <v>650</v>
      </c>
    </row>
    <row r="715" spans="1:4" x14ac:dyDescent="0.3">
      <c r="A715" s="27"/>
      <c r="B715" s="25">
        <v>31</v>
      </c>
      <c r="C715" s="25" t="s">
        <v>126</v>
      </c>
      <c r="D715" s="25" t="s">
        <v>622</v>
      </c>
    </row>
    <row r="716" spans="1:4" x14ac:dyDescent="0.3">
      <c r="A716" s="27"/>
      <c r="B716" s="25">
        <v>32</v>
      </c>
      <c r="C716" s="25" t="s">
        <v>137</v>
      </c>
      <c r="D716" s="25" t="s">
        <v>650</v>
      </c>
    </row>
    <row r="717" spans="1:4" x14ac:dyDescent="0.3">
      <c r="A717" s="27"/>
      <c r="B717" s="25">
        <v>34</v>
      </c>
      <c r="C717" s="25" t="s">
        <v>119</v>
      </c>
      <c r="D717" s="25" t="s">
        <v>633</v>
      </c>
    </row>
    <row r="718" spans="1:4" x14ac:dyDescent="0.3">
      <c r="A718" s="27"/>
      <c r="B718" s="25">
        <v>35</v>
      </c>
      <c r="C718" s="25" t="s">
        <v>153</v>
      </c>
      <c r="D718" s="25" t="s">
        <v>650</v>
      </c>
    </row>
    <row r="719" spans="1:4" x14ac:dyDescent="0.3">
      <c r="A719" s="25">
        <v>20</v>
      </c>
      <c r="B719" s="25">
        <v>44</v>
      </c>
      <c r="C719" s="25" t="s">
        <v>137</v>
      </c>
      <c r="D719" s="25" t="s">
        <v>650</v>
      </c>
    </row>
    <row r="720" spans="1:4" x14ac:dyDescent="0.3">
      <c r="A720" s="25">
        <v>21</v>
      </c>
      <c r="B720" s="25">
        <v>45</v>
      </c>
      <c r="C720" s="25" t="s">
        <v>126</v>
      </c>
      <c r="D720" s="25" t="s">
        <v>622</v>
      </c>
    </row>
    <row r="721" spans="1:4" x14ac:dyDescent="0.3">
      <c r="A721" s="27"/>
      <c r="B721" s="25">
        <v>99</v>
      </c>
      <c r="C721" s="25" t="s">
        <v>126</v>
      </c>
      <c r="D721" s="25" t="s">
        <v>622</v>
      </c>
    </row>
    <row r="722" spans="1:4" x14ac:dyDescent="0.3">
      <c r="A722" s="27"/>
      <c r="B722" s="25">
        <v>100</v>
      </c>
      <c r="C722" s="25" t="s">
        <v>137</v>
      </c>
      <c r="D722" s="25" t="s">
        <v>650</v>
      </c>
    </row>
    <row r="726" spans="1:4" x14ac:dyDescent="0.3">
      <c r="A726" s="86" t="s">
        <v>1297</v>
      </c>
      <c r="B726" s="86" t="s">
        <v>1296</v>
      </c>
      <c r="C726" s="86" t="s">
        <v>735</v>
      </c>
      <c r="D726" s="86"/>
    </row>
    <row r="727" spans="1:4" x14ac:dyDescent="0.3">
      <c r="A727" s="27"/>
      <c r="B727" s="25">
        <v>1</v>
      </c>
      <c r="C727" s="25" t="s">
        <v>26</v>
      </c>
      <c r="D727" s="25" t="s">
        <v>622</v>
      </c>
    </row>
    <row r="728" spans="1:4" x14ac:dyDescent="0.3">
      <c r="A728" s="27"/>
      <c r="B728" s="25">
        <v>2</v>
      </c>
      <c r="C728" s="25" t="s">
        <v>49</v>
      </c>
      <c r="D728" s="25" t="s">
        <v>650</v>
      </c>
    </row>
    <row r="729" spans="1:4" x14ac:dyDescent="0.3">
      <c r="A729" s="25">
        <v>29</v>
      </c>
      <c r="B729" s="25">
        <v>57</v>
      </c>
      <c r="C729" s="25" t="s">
        <v>26</v>
      </c>
      <c r="D729" s="25" t="s">
        <v>622</v>
      </c>
    </row>
    <row r="730" spans="1:4" x14ac:dyDescent="0.3">
      <c r="A730" s="27"/>
      <c r="B730" s="25">
        <v>58</v>
      </c>
      <c r="C730" s="25" t="s">
        <v>49</v>
      </c>
      <c r="D730" s="25" t="s">
        <v>650</v>
      </c>
    </row>
    <row r="731" spans="1:4" x14ac:dyDescent="0.3">
      <c r="A731" s="25">
        <v>33</v>
      </c>
      <c r="B731" s="25">
        <v>70</v>
      </c>
      <c r="C731" s="25" t="s">
        <v>49</v>
      </c>
      <c r="D731" s="25" t="s">
        <v>650</v>
      </c>
    </row>
    <row r="732" spans="1:4" x14ac:dyDescent="0.3">
      <c r="A732" s="25">
        <v>34</v>
      </c>
      <c r="B732" s="25">
        <v>71</v>
      </c>
      <c r="C732" s="25" t="s">
        <v>26</v>
      </c>
      <c r="D732" s="25" t="s">
        <v>622</v>
      </c>
    </row>
    <row r="736" spans="1:4" x14ac:dyDescent="0.3">
      <c r="A736" s="86" t="s">
        <v>1297</v>
      </c>
      <c r="B736" s="86" t="s">
        <v>1296</v>
      </c>
      <c r="C736" s="86" t="s">
        <v>1239</v>
      </c>
      <c r="D736" s="86"/>
    </row>
    <row r="737" spans="1:4" x14ac:dyDescent="0.3">
      <c r="A737" s="27"/>
      <c r="B737" s="27"/>
      <c r="C737" s="25" t="s">
        <v>1240</v>
      </c>
      <c r="D737" s="25" t="s">
        <v>650</v>
      </c>
    </row>
    <row r="738" spans="1:4" x14ac:dyDescent="0.3">
      <c r="A738" s="27"/>
      <c r="B738" s="27"/>
      <c r="C738" s="25" t="s">
        <v>1241</v>
      </c>
      <c r="D738" s="25" t="s">
        <v>633</v>
      </c>
    </row>
    <row r="739" spans="1:4" x14ac:dyDescent="0.3">
      <c r="A739" s="27"/>
      <c r="B739" s="27"/>
      <c r="C739" s="25" t="s">
        <v>1242</v>
      </c>
      <c r="D739" s="25" t="s">
        <v>622</v>
      </c>
    </row>
    <row r="740" spans="1:4" x14ac:dyDescent="0.3">
      <c r="A740" s="27"/>
      <c r="B740" s="27"/>
      <c r="C740" s="25" t="s">
        <v>1243</v>
      </c>
      <c r="D740" s="25" t="s">
        <v>622</v>
      </c>
    </row>
    <row r="741" spans="1:4" x14ac:dyDescent="0.3">
      <c r="A741" s="27"/>
      <c r="B741" s="27"/>
      <c r="C741" s="25" t="s">
        <v>1244</v>
      </c>
      <c r="D741" s="25" t="s">
        <v>626</v>
      </c>
    </row>
    <row r="742" spans="1:4" x14ac:dyDescent="0.3">
      <c r="A742" s="27"/>
      <c r="B742" s="27"/>
      <c r="C742" s="25" t="s">
        <v>1245</v>
      </c>
      <c r="D742" s="25" t="s">
        <v>626</v>
      </c>
    </row>
    <row r="746" spans="1:4" x14ac:dyDescent="0.3">
      <c r="A746" s="86" t="s">
        <v>1297</v>
      </c>
      <c r="B746" s="86" t="s">
        <v>1296</v>
      </c>
      <c r="C746" s="86" t="s">
        <v>1246</v>
      </c>
      <c r="D746" s="86"/>
    </row>
    <row r="747" spans="1:4" x14ac:dyDescent="0.3">
      <c r="A747" s="27"/>
      <c r="B747" s="27"/>
      <c r="C747" s="25" t="s">
        <v>1247</v>
      </c>
      <c r="D747" s="25" t="s">
        <v>622</v>
      </c>
    </row>
    <row r="748" spans="1:4" x14ac:dyDescent="0.3">
      <c r="A748" s="27"/>
      <c r="B748" s="27"/>
      <c r="C748" s="25" t="s">
        <v>1248</v>
      </c>
      <c r="D748" s="25" t="s">
        <v>633</v>
      </c>
    </row>
    <row r="752" spans="1:4" x14ac:dyDescent="0.3">
      <c r="A752" s="86" t="s">
        <v>1297</v>
      </c>
      <c r="B752" s="86" t="s">
        <v>1296</v>
      </c>
      <c r="C752" s="86" t="s">
        <v>1249</v>
      </c>
      <c r="D752" s="86"/>
    </row>
    <row r="753" spans="1:4" x14ac:dyDescent="0.3">
      <c r="A753" s="27"/>
      <c r="B753" s="27"/>
      <c r="C753" s="25" t="s">
        <v>1250</v>
      </c>
      <c r="D753" s="25" t="s">
        <v>626</v>
      </c>
    </row>
    <row r="754" spans="1:4" x14ac:dyDescent="0.3">
      <c r="A754" s="27"/>
      <c r="B754" s="27"/>
      <c r="C754" s="25" t="s">
        <v>1251</v>
      </c>
      <c r="D754" s="25" t="s">
        <v>650</v>
      </c>
    </row>
    <row r="755" spans="1:4" x14ac:dyDescent="0.3">
      <c r="A755" s="27"/>
      <c r="B755" s="27"/>
      <c r="C755" s="25" t="s">
        <v>1252</v>
      </c>
      <c r="D755" s="25" t="s">
        <v>650</v>
      </c>
    </row>
    <row r="759" spans="1:4" x14ac:dyDescent="0.3">
      <c r="A759" s="86" t="s">
        <v>1297</v>
      </c>
      <c r="B759" s="86" t="s">
        <v>1296</v>
      </c>
      <c r="C759" s="86" t="s">
        <v>1253</v>
      </c>
      <c r="D759" s="86"/>
    </row>
    <row r="760" spans="1:4" x14ac:dyDescent="0.3">
      <c r="A760" s="27"/>
      <c r="B760" s="27"/>
      <c r="C760" s="25" t="s">
        <v>1254</v>
      </c>
      <c r="D760" s="25" t="s">
        <v>633</v>
      </c>
    </row>
    <row r="761" spans="1:4" x14ac:dyDescent="0.3">
      <c r="A761" s="27"/>
      <c r="B761" s="27"/>
      <c r="C761" s="25" t="s">
        <v>1255</v>
      </c>
      <c r="D761" s="25" t="s">
        <v>633</v>
      </c>
    </row>
    <row r="762" spans="1:4" x14ac:dyDescent="0.3">
      <c r="A762" s="27"/>
      <c r="B762" s="27"/>
      <c r="C762" s="25" t="s">
        <v>1256</v>
      </c>
      <c r="D762" s="25" t="s">
        <v>633</v>
      </c>
    </row>
    <row r="763" spans="1:4" x14ac:dyDescent="0.3">
      <c r="A763" s="27"/>
      <c r="B763" s="27"/>
      <c r="C763" s="25" t="s">
        <v>1257</v>
      </c>
      <c r="D763" s="25" t="s">
        <v>633</v>
      </c>
    </row>
    <row r="764" spans="1:4" x14ac:dyDescent="0.3">
      <c r="A764" s="27"/>
      <c r="B764" s="27"/>
      <c r="C764" s="25" t="s">
        <v>1258</v>
      </c>
      <c r="D764" s="25" t="s">
        <v>633</v>
      </c>
    </row>
    <row r="765" spans="1:4" x14ac:dyDescent="0.3">
      <c r="A765" s="27"/>
      <c r="B765" s="27"/>
      <c r="C765" s="25" t="s">
        <v>1259</v>
      </c>
      <c r="D765" s="25" t="s">
        <v>633</v>
      </c>
    </row>
    <row r="766" spans="1:4" x14ac:dyDescent="0.3">
      <c r="A766" s="27"/>
      <c r="B766" s="27"/>
      <c r="C766" s="25" t="s">
        <v>1260</v>
      </c>
      <c r="D766" s="25" t="s">
        <v>633</v>
      </c>
    </row>
    <row r="767" spans="1:4" x14ac:dyDescent="0.3">
      <c r="A767" s="27"/>
      <c r="B767" s="27"/>
      <c r="C767" s="25" t="s">
        <v>1261</v>
      </c>
      <c r="D767" s="25" t="s">
        <v>633</v>
      </c>
    </row>
    <row r="768" spans="1:4" x14ac:dyDescent="0.3">
      <c r="A768" s="27"/>
      <c r="B768" s="27"/>
      <c r="C768" s="25" t="s">
        <v>1262</v>
      </c>
      <c r="D768" s="25" t="s">
        <v>633</v>
      </c>
    </row>
    <row r="769" spans="1:4" x14ac:dyDescent="0.3">
      <c r="A769" s="27"/>
      <c r="B769" s="27"/>
      <c r="C769" s="25" t="s">
        <v>1263</v>
      </c>
      <c r="D769" s="25" t="s">
        <v>633</v>
      </c>
    </row>
    <row r="770" spans="1:4" x14ac:dyDescent="0.3">
      <c r="A770" s="27"/>
      <c r="B770" s="27"/>
      <c r="C770" s="25" t="s">
        <v>1264</v>
      </c>
      <c r="D770" s="25" t="s">
        <v>633</v>
      </c>
    </row>
    <row r="771" spans="1:4" x14ac:dyDescent="0.3">
      <c r="A771" s="27"/>
      <c r="B771" s="27"/>
      <c r="C771" s="25" t="s">
        <v>1265</v>
      </c>
      <c r="D771" s="25" t="s">
        <v>633</v>
      </c>
    </row>
    <row r="772" spans="1:4" x14ac:dyDescent="0.3">
      <c r="A772" s="27"/>
      <c r="B772" s="27"/>
      <c r="C772" s="25" t="s">
        <v>1266</v>
      </c>
      <c r="D772" s="25" t="s">
        <v>633</v>
      </c>
    </row>
    <row r="773" spans="1:4" x14ac:dyDescent="0.3">
      <c r="A773" s="27"/>
      <c r="B773" s="27"/>
      <c r="C773" s="25" t="s">
        <v>1267</v>
      </c>
      <c r="D773" s="25" t="s">
        <v>626</v>
      </c>
    </row>
    <row r="774" spans="1:4" x14ac:dyDescent="0.3">
      <c r="A774" s="27"/>
      <c r="B774" s="27"/>
      <c r="C774" s="25" t="s">
        <v>1268</v>
      </c>
      <c r="D774" s="25" t="s">
        <v>626</v>
      </c>
    </row>
    <row r="775" spans="1:4" x14ac:dyDescent="0.3">
      <c r="A775" s="27"/>
      <c r="B775" s="27"/>
      <c r="C775" s="25" t="s">
        <v>1269</v>
      </c>
      <c r="D775" s="25" t="s">
        <v>626</v>
      </c>
    </row>
    <row r="779" spans="1:4" x14ac:dyDescent="0.3">
      <c r="A779" s="86" t="s">
        <v>1297</v>
      </c>
      <c r="B779" s="86" t="s">
        <v>1296</v>
      </c>
      <c r="C779" s="86" t="s">
        <v>1270</v>
      </c>
      <c r="D779" s="86"/>
    </row>
    <row r="780" spans="1:4" x14ac:dyDescent="0.3">
      <c r="A780" s="27"/>
      <c r="B780" s="27"/>
      <c r="C780" s="25" t="s">
        <v>1270</v>
      </c>
      <c r="D780" s="25" t="s">
        <v>650</v>
      </c>
    </row>
    <row r="784" spans="1:4" x14ac:dyDescent="0.3">
      <c r="A784" s="86" t="s">
        <v>1297</v>
      </c>
      <c r="B784" s="86" t="s">
        <v>1296</v>
      </c>
      <c r="C784" s="86" t="s">
        <v>1271</v>
      </c>
      <c r="D784" s="86"/>
    </row>
    <row r="785" spans="1:4" x14ac:dyDescent="0.3">
      <c r="A785" s="27"/>
      <c r="B785" s="27"/>
      <c r="C785" s="25" t="s">
        <v>1272</v>
      </c>
      <c r="D785" s="25" t="s">
        <v>650</v>
      </c>
    </row>
    <row r="786" spans="1:4" x14ac:dyDescent="0.3">
      <c r="A786" s="27"/>
      <c r="B786" s="27"/>
      <c r="C786" s="25" t="s">
        <v>1273</v>
      </c>
      <c r="D786" s="25" t="s">
        <v>633</v>
      </c>
    </row>
    <row r="787" spans="1:4" x14ac:dyDescent="0.3">
      <c r="A787" s="27"/>
      <c r="B787" s="27"/>
      <c r="C787" s="25" t="s">
        <v>1274</v>
      </c>
      <c r="D787" s="25" t="s">
        <v>622</v>
      </c>
    </row>
    <row r="788" spans="1:4" x14ac:dyDescent="0.3">
      <c r="A788" s="27"/>
      <c r="B788" s="27"/>
      <c r="C788" s="25" t="s">
        <v>1275</v>
      </c>
      <c r="D788" s="25" t="s">
        <v>622</v>
      </c>
    </row>
    <row r="792" spans="1:4" x14ac:dyDescent="0.3">
      <c r="A792" s="86" t="s">
        <v>1297</v>
      </c>
      <c r="B792" s="86" t="s">
        <v>1296</v>
      </c>
      <c r="C792" s="86" t="s">
        <v>1276</v>
      </c>
      <c r="D792" s="86"/>
    </row>
    <row r="793" spans="1:4" x14ac:dyDescent="0.3">
      <c r="A793" s="27"/>
      <c r="B793" s="27"/>
      <c r="C793" s="25" t="s">
        <v>1276</v>
      </c>
      <c r="D793" s="25" t="s">
        <v>626</v>
      </c>
    </row>
    <row r="794" spans="1:4" x14ac:dyDescent="0.3">
      <c r="A794" s="27"/>
      <c r="B794" s="27"/>
      <c r="C794" s="25" t="s">
        <v>1277</v>
      </c>
      <c r="D794" s="25" t="s">
        <v>626</v>
      </c>
    </row>
    <row r="795" spans="1:4" x14ac:dyDescent="0.3">
      <c r="A795" s="27"/>
      <c r="B795" s="27"/>
      <c r="C795" s="25" t="s">
        <v>1278</v>
      </c>
      <c r="D795" s="25" t="s">
        <v>626</v>
      </c>
    </row>
    <row r="799" spans="1:4" x14ac:dyDescent="0.3">
      <c r="A799" s="86" t="s">
        <v>1297</v>
      </c>
      <c r="B799" s="86" t="s">
        <v>1296</v>
      </c>
      <c r="C799" s="86" t="s">
        <v>1279</v>
      </c>
      <c r="D799" s="86"/>
    </row>
    <row r="800" spans="1:4" x14ac:dyDescent="0.3">
      <c r="A800" s="27"/>
      <c r="B800" s="27"/>
      <c r="C800" s="25" t="s">
        <v>1280</v>
      </c>
      <c r="D800" s="25" t="s">
        <v>626</v>
      </c>
    </row>
    <row r="801" spans="1:4" x14ac:dyDescent="0.3">
      <c r="A801" s="27"/>
      <c r="B801" s="27"/>
      <c r="C801" s="25" t="s">
        <v>1281</v>
      </c>
      <c r="D801" s="25" t="s">
        <v>633</v>
      </c>
    </row>
    <row r="802" spans="1:4" x14ac:dyDescent="0.3">
      <c r="A802" s="27"/>
      <c r="B802" s="27"/>
      <c r="C802" s="25" t="s">
        <v>1282</v>
      </c>
      <c r="D802" s="25" t="s">
        <v>626</v>
      </c>
    </row>
    <row r="803" spans="1:4" x14ac:dyDescent="0.3">
      <c r="A803" s="27"/>
      <c r="B803" s="27"/>
      <c r="C803" s="25" t="s">
        <v>1283</v>
      </c>
      <c r="D803" s="25" t="s">
        <v>633</v>
      </c>
    </row>
    <row r="804" spans="1:4" x14ac:dyDescent="0.3">
      <c r="A804" s="27"/>
      <c r="B804" s="27"/>
      <c r="C804" s="25" t="s">
        <v>1284</v>
      </c>
      <c r="D804" s="25" t="s">
        <v>633</v>
      </c>
    </row>
    <row r="805" spans="1:4" x14ac:dyDescent="0.3">
      <c r="A805" s="27"/>
      <c r="B805" s="27"/>
      <c r="C805" s="25" t="s">
        <v>1285</v>
      </c>
      <c r="D805" s="25" t="s">
        <v>626</v>
      </c>
    </row>
    <row r="806" spans="1:4" x14ac:dyDescent="0.3">
      <c r="A806" s="27"/>
      <c r="B806" s="27"/>
      <c r="C806" s="25" t="s">
        <v>1286</v>
      </c>
      <c r="D806" s="25" t="s">
        <v>626</v>
      </c>
    </row>
    <row r="807" spans="1:4" x14ac:dyDescent="0.3">
      <c r="A807" s="27"/>
      <c r="B807" s="27"/>
      <c r="C807" s="25" t="s">
        <v>1287</v>
      </c>
      <c r="D807" s="25" t="s">
        <v>626</v>
      </c>
    </row>
    <row r="811" spans="1:4" x14ac:dyDescent="0.3">
      <c r="A811" s="86" t="s">
        <v>1297</v>
      </c>
      <c r="B811" s="86" t="s">
        <v>1296</v>
      </c>
      <c r="C811" s="130" t="s">
        <v>1301</v>
      </c>
      <c r="D811" s="86"/>
    </row>
    <row r="812" spans="1:4" x14ac:dyDescent="0.3">
      <c r="A812" s="27"/>
      <c r="B812" s="27"/>
      <c r="C812" s="25" t="s">
        <v>1288</v>
      </c>
      <c r="D812" s="25" t="s">
        <v>622</v>
      </c>
    </row>
    <row r="816" spans="1:4" x14ac:dyDescent="0.3">
      <c r="A816" s="86" t="s">
        <v>1297</v>
      </c>
      <c r="B816" s="86" t="s">
        <v>1296</v>
      </c>
      <c r="C816" s="86" t="s">
        <v>1289</v>
      </c>
      <c r="D816" s="86"/>
    </row>
    <row r="817" spans="1:4" x14ac:dyDescent="0.3">
      <c r="A817" s="27"/>
      <c r="B817" s="27"/>
      <c r="C817" s="25" t="s">
        <v>1290</v>
      </c>
      <c r="D817" s="25" t="s">
        <v>633</v>
      </c>
    </row>
  </sheetData>
  <sheetProtection formatCells="0" formatColumns="0" formatRows="0" insertColumns="0" insertRows="0" insertHyperlinks="0" deleteColumns="0" deleteRows="0" sort="0" autoFilter="0" pivotTables="0"/>
  <phoneticPr fontId="2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A73287CBB9546AFE9A1534E419F8E" ma:contentTypeVersion="15" ma:contentTypeDescription="Create a new document." ma:contentTypeScope="" ma:versionID="b47dec7f2f2ec3e2cd470b6294cf2be6">
  <xsd:schema xmlns:xsd="http://www.w3.org/2001/XMLSchema" xmlns:xs="http://www.w3.org/2001/XMLSchema" xmlns:p="http://schemas.microsoft.com/office/2006/metadata/properties" xmlns:ns3="29584fcd-d7ce-4fdf-a5e4-d93d7b869c15" xmlns:ns4="40718b82-e758-472c-9931-883aa2d80902" targetNamespace="http://schemas.microsoft.com/office/2006/metadata/properties" ma:root="true" ma:fieldsID="fa4880d26cacebd8d3ca86c474c26ad6" ns3:_="" ns4:_="">
    <xsd:import namespace="29584fcd-d7ce-4fdf-a5e4-d93d7b869c15"/>
    <xsd:import namespace="40718b82-e758-472c-9931-883aa2d8090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4fcd-d7ce-4fdf-a5e4-d93d7b869c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18b82-e758-472c-9931-883aa2d809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BE969-B431-49DF-B8CF-73168132E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1B3457-D5AC-4162-924D-523D0CC9D6DC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40718b82-e758-472c-9931-883aa2d80902"/>
    <ds:schemaRef ds:uri="29584fcd-d7ce-4fdf-a5e4-d93d7b869c15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6E9131-4B3B-469B-BF20-55CB697F9C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4fcd-d7ce-4fdf-a5e4-d93d7b869c15"/>
    <ds:schemaRef ds:uri="40718b82-e758-472c-9931-883aa2d809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Rev History</vt:lpstr>
      <vt:lpstr>Title</vt:lpstr>
      <vt:lpstr>MCXE31_Pinout</vt:lpstr>
      <vt:lpstr>MCXE31_IO Signal Table</vt:lpstr>
      <vt:lpstr>MCX315_MCXE316_Input Muxing</vt:lpstr>
      <vt:lpstr>MCX315_MCXE316_Supplies</vt:lpstr>
      <vt:lpstr>MCX315_MCXE316_Misc Pins</vt:lpstr>
      <vt:lpstr>MCX315_MCXE316_48lqfp</vt:lpstr>
      <vt:lpstr>MCX315_MCXE316_100hdqfp</vt:lpstr>
      <vt:lpstr>MCX315_6_PeripheralSummaries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- All Worksheets</dc:title>
  <dc:subject>Spider XLSX Export</dc:subject>
  <dc:creator>Osvaldo Romero</dc:creator>
  <cp:keywords/>
  <dc:description>All downloaded Worksheets in project</dc:description>
  <cp:lastModifiedBy>XI YANG</cp:lastModifiedBy>
  <cp:revision/>
  <dcterms:created xsi:type="dcterms:W3CDTF">2020-01-13T11:21:29Z</dcterms:created>
  <dcterms:modified xsi:type="dcterms:W3CDTF">2025-02-20T08:42:52Z</dcterms:modified>
  <cp:category>Spider XLSX Export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0x010100A0CA73287CBB9546AFE9A1534E419F8E</vt:lpwstr>
  </property>
</Properties>
</file>